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comments8.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 Sourcing Plan" sheetId="2" state="visible" r:id="rId4"/>
    <sheet name="WAIS Scorer" sheetId="3" state="visible" r:id="rId5"/>
    <sheet name="Macro KPI Dashboard" sheetId="4" state="visible" r:id="rId6"/>
    <sheet name="Node Pressure (Meso)" sheetId="5" state="visible" r:id="rId7"/>
    <sheet name="Leak Site Signals" sheetId="6" state="visible" r:id="rId8"/>
    <sheet name="Group Pressure Tracker" sheetId="7" state="visible" r:id="rId9"/>
    <sheet name="Operation Log (Micro)" sheetId="8" state="visible" r:id="rId10"/>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Framework v2</author>
  </authors>
  <commentList>
    <comment ref="D5" authorId="0">
      <text>
        <r>
          <rPr>
            <sz val="10"/>
            <rFont val="Arial"/>
            <family val="2"/>
          </rPr>
          <t xml:space="preserve">Valid action types: Designation / Takedown / Sinkhole / Referral / Arrest / Journalism Pipeline / Infrastructure Disruption / Seeded Exposure (Indirect Pressure Operation)</t>
        </r>
      </text>
    </comment>
  </commentList>
</comments>
</file>

<file path=xl/sharedStrings.xml><?xml version="1.0" encoding="utf-8"?>
<sst xmlns="http://schemas.openxmlformats.org/spreadsheetml/2006/main" count="741" uniqueCount="530">
  <si>
    <t xml:space="preserve">RANSOMWARE ECOSYSTEM DISRUPTION MEASUREMENT FRAMEWORK</t>
  </si>
  <si>
    <t xml:space="preserve">KPI Tracking Workbook  |  Version 0.1  |  March 2026  |  Developed by Reno</t>
  </si>
  <si>
    <t xml:space="preserve">WORKBOOK STRUCTURE</t>
  </si>
  <si>
    <t xml:space="preserve">Tab</t>
  </si>
  <si>
    <t xml:space="preserve">Name</t>
  </si>
  <si>
    <t xml:space="preserve">Purpose</t>
  </si>
  <si>
    <t xml:space="preserve">Cadence</t>
  </si>
  <si>
    <t xml:space="preserve">Audience</t>
  </si>
  <si>
    <t xml:space="preserve">1</t>
  </si>
  <si>
    <t xml:space="preserve">Instructions</t>
  </si>
  <si>
    <t xml:space="preserve">This sheet. How to use the workbook.</t>
  </si>
  <si>
    <t xml:space="preserve">Reference</t>
  </si>
  <si>
    <t xml:space="preserve">All users</t>
  </si>
  <si>
    <t xml:space="preserve">2</t>
  </si>
  <si>
    <t xml:space="preserve">WAIS Scorer</t>
  </si>
  <si>
    <t xml:space="preserve">Score arrest events using the Weighted Arrest Impact Score. One row per arrest.</t>
  </si>
  <si>
    <t xml:space="preserve">Per arrest</t>
  </si>
  <si>
    <t xml:space="preserve">Operational teams</t>
  </si>
  <si>
    <t xml:space="preserve">3</t>
  </si>
  <si>
    <t xml:space="preserve">Macro KPI Dashboard</t>
  </si>
  <si>
    <t xml:space="preserve">Track the three macro themes (A/B/C) across quarterly reporting periods.</t>
  </si>
  <si>
    <t xml:space="preserve">Quarterly</t>
  </si>
  <si>
    <t xml:space="preserve">Leadership + Framework coordinator</t>
  </si>
  <si>
    <t xml:space="preserve">4</t>
  </si>
  <si>
    <t xml:space="preserve">Node Pressure (Meso)</t>
  </si>
  <si>
    <t xml:space="preserve">Track per-node pressure metrics across all 11 ecosystem nodes.</t>
  </si>
  <si>
    <t xml:space="preserve">Monthly / per action</t>
  </si>
  <si>
    <t xml:space="preserve">Interagency working groups</t>
  </si>
  <si>
    <t xml:space="preserve">5</t>
  </si>
  <si>
    <t xml:space="preserve">Leak Site Signals</t>
  </si>
  <si>
    <t xml:space="preserve">Track the three leak site signals: post volume, time-to-publish, takedown/relaunch cycle.</t>
  </si>
  <si>
    <t xml:space="preserve">Monthly</t>
  </si>
  <si>
    <t xml:space="preserve">Framework coordinator</t>
  </si>
  <si>
    <t xml:space="preserve">6</t>
  </si>
  <si>
    <t xml:space="preserve">Group Pressure Tracker</t>
  </si>
  <si>
    <t xml:space="preserve">Track pressure effects against specific active target groups. One row per group.</t>
  </si>
  <si>
    <t xml:space="preserve">Ongoing</t>
  </si>
  <si>
    <t xml:space="preserve">7</t>
  </si>
  <si>
    <t xml:space="preserve">Operation Log (Micro)</t>
  </si>
  <si>
    <t xml:space="preserve">Per-operation log. One row per disruption action. Feeds all other tabs.</t>
  </si>
  <si>
    <t xml:space="preserve">Per operation</t>
  </si>
  <si>
    <t xml:space="preserve">Owning agency per action</t>
  </si>
  <si>
    <t xml:space="preserve">USAGE RULES</t>
  </si>
  <si>
    <t xml:space="preserve">1.</t>
  </si>
  <si>
    <t xml:space="preserve">All drop-down fields use data validation lists. Select from the available options only.</t>
  </si>
  <si>
    <t xml:space="preserve">2.</t>
  </si>
  <si>
    <t xml:space="preserve">Fields marked [ENTER] are free-text input. Fields marked [AUTO] calculate automatically from other cells.</t>
  </si>
  <si>
    <t xml:space="preserve">3.</t>
  </si>
  <si>
    <t xml:space="preserve">Do not delete rows in the Operation Log (Tab 7). Add new rows at the bottom only.</t>
  </si>
  <si>
    <t xml:space="preserve">4.</t>
  </si>
  <si>
    <t xml:space="preserve">Confidence labels: CONFIRMED = hard data, traceable source. CREDIBLE = corroborated, reasonable inference. INDICATIVE = single-source or proxy, directional only.</t>
  </si>
  <si>
    <t xml:space="preserve">5.</t>
  </si>
  <si>
    <t xml:space="preserve">WAIS Cooperation Output may be marked PENDING when debrief data is unavailable. Do not default to a score.</t>
  </si>
  <si>
    <t xml:space="preserve">6.</t>
  </si>
  <si>
    <t xml:space="preserve">Baseline metrics in the Group Pressure Tracker must be established before the first action. Do not backfill baselines.</t>
  </si>
  <si>
    <t xml:space="preserve">7.</t>
  </si>
  <si>
    <t xml:space="preserve">All KPIs are scoped to Russia/CIS-linked ransomware unless explicitly noted otherwise.</t>
  </si>
  <si>
    <t xml:space="preserve">8.</t>
  </si>
  <si>
    <t xml:space="preserve">This workbook is Tier 2 distribution. The controlled analytic annex (protection-layer officer detail) is maintained separately.</t>
  </si>
  <si>
    <t xml:space="preserve">KPI DATA ACQUISITION AND SOURCING PLAN</t>
  </si>
  <si>
    <t xml:space="preserve">Maps every KPI to a data source, owner, cadence, specific ask, and interagency framing strategy. Red = unassigned ownership gap (interagency agenda item). Green = populated/operational.</t>
  </si>
  <si>
    <t xml:space="preserve">KPI ID</t>
  </si>
  <si>
    <t xml:space="preserve">KPI Name</t>
  </si>
  <si>
    <t xml:space="preserve">Data Source(s)</t>
  </si>
  <si>
    <t xml:space="preserve">Responsible Owner</t>
  </si>
  <si>
    <t xml:space="preserve">Specific Data Ask</t>
  </si>
  <si>
    <t xml:space="preserve">Framing / Acquisition Strategy</t>
  </si>
  <si>
    <t xml:space="preserve">Status</t>
  </si>
  <si>
    <t xml:space="preserve">THEME A: Russian Domestic Enforcement</t>
  </si>
  <si>
    <t xml:space="preserve">A-1</t>
  </si>
  <si>
    <t xml:space="preserve">Russian Domestic Actions Against Ecosystem Actors</t>
  </si>
  <si>
    <t xml:space="preserve">MVD press releases; iStories/Meduza/OCCRP; Russian court records; FinCEN cross-reference</t>
  </si>
  <si>
    <t xml:space="preserve">Framework coordinator (OSINT); FBI Cyber (seeded referral attribution)</t>
  </si>
  <si>
    <t xml:space="preserve">Count of Russian criminal, admin, or tax actions against mapped actors per quarter. Three fields minimum: date, actor tier (elite/mid/support), charge type. Cyber-specific charges not required.</t>
  </si>
  <si>
    <t xml:space="preserve">Framing: demonstrates whether Russia treats cybercriminals as liabilities. LE partners benefit by showing their operations produce observable Russian downstream responses, supporting resource arguments.</t>
  </si>
  <si>
    <t xml:space="preserve">L1 AVAILABLE</t>
  </si>
  <si>
    <t xml:space="preserve">A-2</t>
  </si>
  <si>
    <t xml:space="preserve">Referral-to-Action Lag (days)</t>
  </si>
  <si>
    <t xml:space="preserve">Internal operation logs (micro layer); open-source Russian enforcement reporting</t>
  </si>
  <si>
    <t xml:space="preserve">Owning operational team per referral. No current aggregator assigned.</t>
  </si>
  <si>
    <t xml:space="preserve">Per referral; quarterly aggregate</t>
  </si>
  <si>
    <t xml:space="preserve">De-identified log of Russia-directed referrals: three fields only. Date of referral, recipient channel (MVD/Rosfinmonitoring/FSB/CBR), date of first observable Russian response or "no response."</t>
  </si>
  <si>
    <t xml:space="preserve">Low ask, high analytic return. Even negative results (no response) are analytically significant and support escalation arguments to leadership and partners.</t>
  </si>
  <si>
    <t xml:space="preserve">L2 PENDING</t>
  </si>
  <si>
    <t xml:space="preserve">A-2b</t>
  </si>
  <si>
    <t xml:space="preserve">Seeded Exposure Lag (days)</t>
  </si>
  <si>
    <t xml:space="preserve">Internal micro-layer operation logs (CONFIRMED anchor); publication monitoring of relevant independent exposure channels; open-source enforcement reporting (MVD, third-country LE); underground forum behavioral monitoring</t>
  </si>
  <si>
    <t xml:space="preserve">Owning operational team per seeded exposure operation. No current aggregator assigned.</t>
  </si>
  <si>
    <t xml:space="preserve">Per operation; quarterly aggregate</t>
  </si>
  <si>
    <t xml:space="preserve">De-identified log: date of feed, channel/actor fed to, date of first observable downstream effect, effect type (1=publication, 2=actor behavioral change, 3=protection status change, 4=enforcement action). Feed documentation is mandatory prerequisite.</t>
  </si>
  <si>
    <t xml:space="preserve">Parallel to A-2. Demonstrates that seeded exposure operations produce measurable downstream effects with attributable timing. Analytically significant even when no enforcement action follows — behavioral change and protection status shifts are valid outcomes.</t>
  </si>
  <si>
    <t xml:space="preserve">A-3</t>
  </si>
  <si>
    <t xml:space="preserve">Protection Relationship Status Inventory</t>
  </si>
  <si>
    <t xml:space="preserve">IC reporting feeds; Intel 471/Flashpoint underground monitoring; blockchain anomaly detection; investigative journalism</t>
  </si>
  <si>
    <t xml:space="preserve">IC analytic team (controlled annex). No current owner assigned.</t>
  </si>
  <si>
    <t xml:space="preserve">Quarterly snapshot</t>
  </si>
  <si>
    <t xml:space="preserve">Count by status category (Active/Strained/Broken/Unknown) per quarter. Track transitions as separate trend line. Individual officer data in Tier 3 controlled annex only.</t>
  </si>
  <si>
    <t xml:space="preserve">Frame as a classified annex product, not a public metric. Governance protections built into the framework. Even a partial inventory with INDICATIVE confidence is more defensible than a blank field.</t>
  </si>
  <si>
    <t xml:space="preserve">THEME B: FSB/RIS Strife Indicators</t>
  </si>
  <si>
    <t xml:space="preserve">B-1</t>
  </si>
  <si>
    <t xml:space="preserve">Weighted Arrest Impact Score (WAIS)</t>
  </si>
  <si>
    <t xml:space="preserve">Owning agency debrief records; FBI/DOJ/NCA/Europol prosecution files; Chainalysis/TRM reconstitution tracking</t>
  </si>
  <si>
    <t xml:space="preserve">Owning agency per arrest; framework coordinator aggregates quarterly.</t>
  </si>
  <si>
    <t xml:space="preserve">Per arrest (30 days)</t>
  </si>
  <si>
    <t xml:space="preserve">Score each arrest on four WAIS dimensions within 30 days of action. Mark Cooperation Output PENDING if debrief incomplete. Require as part of standard after-action process, not optional analytic step.</t>
  </si>
  <si>
    <t xml:space="preserve">WAIS gives LE partners a credible way to show ecosystem-level impact, not just headline arrests. Differentiates meaningful operations from vanity arrests in leadership reporting. Serves their resource and credit interests.</t>
  </si>
  <si>
    <t xml:space="preserve">B-2a</t>
  </si>
  <si>
    <t xml:space="preserve">Strife Proxy Metrics (Defection, Exit Scams, New Brands, Recruitment Shifts)</t>
  </si>
  <si>
    <t xml:space="preserve">Intel 471; Flashpoint; Recorded Future; Ransomware.live; Ransomlook.io; GuidePoint GRIT; Check Point Research</t>
  </si>
  <si>
    <t xml:space="preserve">Intel 471/Flashpoint primary. Framework coordinator aggregates quarterly.</t>
  </si>
  <si>
    <t xml:space="preserve">Quarterly brand census: new vs. rebranded groups. Affiliate migration tracking 90 days post-disruption. Exit scam identification via wallet behavior vs. LE takedown confirmation. Recruitment term shifts via underground forum monitoring.</t>
  </si>
  <si>
    <t xml:space="preserve">Vendor partners get feedback and cross-validation they cannot produce alone. Offer reciprocal data sharing where permissible. Underground monitoring vendors benefit from citation in interagency framework products.</t>
  </si>
  <si>
    <t xml:space="preserve">B-2b</t>
  </si>
  <si>
    <t xml:space="preserve">Strife Event Log (IC-Level)</t>
  </si>
  <si>
    <t xml:space="preserve">IC reporting; Intel 471/Flashpoint; Chainalysis wallet analysis; investigative journalism; sanitized debrief records</t>
  </si>
  <si>
    <t xml:space="preserve">Dedicated analytic owner required. Currently unassigned.</t>
  </si>
  <si>
    <t xml:space="preserve">Per event; quarterly review</t>
  </si>
  <si>
    <t xml:space="preserve">Structured log entry per strife event: type, date, actors, ecosystem effect, confidence label. Conti leak and Black Basta leak are canonical reference entries. Debrief outputs fed back (sanitized) to enrich WAIS trust cascade dimension.</t>
  </si>
  <si>
    <t xml:space="preserve">This is the primary IC-value product for Theme B. Position as the qualitative anchor that makes proxy metrics credible. Ownership gap must be an explicit interagency agenda item, not a silent gap.</t>
  </si>
  <si>
    <t xml:space="preserve">THEME C: Ecosystem Economics</t>
  </si>
  <si>
    <t xml:space="preserve">C-1</t>
  </si>
  <si>
    <t xml:space="preserve">Payment Volume vs. Victim Count Divergence</t>
  </si>
  <si>
    <t xml:space="preserve">Chainalysis Crypto Crime Report (annual); TRM Labs; Elliptic (cross-validation); public quarterly ransomware reports</t>
  </si>
  <si>
    <t xml:space="preserve">Framework coordinator. Chainalysis/TRM primary sources.</t>
  </si>
  <si>
    <t xml:space="preserve">Annual (public); Quarterly (subscription)</t>
  </si>
  <si>
    <t xml:space="preserve">Negotiate standing quarterly data product: total ransomware-linked inflows by family, inferred payment rates where available, sector tagging where possible. Align vendor reporting cadence to Macro KPI Dashboard quarters.</t>
  </si>
  <si>
    <t xml:space="preserve">Vendors benefit from being the named data source in a high-visibility interagency program. Offer analytic feedback and co-publication opportunities where permissible. Supports their government contract positioning.</t>
  </si>
  <si>
    <t xml:space="preserve">C-2</t>
  </si>
  <si>
    <t xml:space="preserve">Victim Payment Rate by Sector</t>
  </si>
  <si>
    <t xml:space="preserve">Coveware quarterly reports; Kivu; Arete; cyber insurers (Corvus, Coalition, Beazley); national CERTs and ISACs</t>
  </si>
  <si>
    <t xml:space="preserve">Framework coordinator. Coveware primary; insurer data supplementary.</t>
  </si>
  <si>
    <t xml:space="preserve">Sector payment rate trends: healthcare, critical infrastructure, general commercial. Absolute numbers not required if proprietary. Harmonize incident reporting schemas across CERTs/ISACs to standardize ransom demanded/paid/refused fields.</t>
  </si>
  <si>
    <t xml:space="preserve">Insurers receive political cover and reputational benefit. Propose anonymization plus aggregate findings that help price risk and inform policy lobbying. Multi-insurer pooled dataset under research MOU is the strategic goal.</t>
  </si>
  <si>
    <t xml:space="preserve">C-3a</t>
  </si>
  <si>
    <t xml:space="preserve">Leak Site Post Volume (Signal 1)</t>
  </si>
  <si>
    <t xml:space="preserve">Ransomware.live (victims.json); Ransomlook.io (API); Ransomwatch (cross-validation)</t>
  </si>
  <si>
    <t xml:space="preserve">Framework coordinator. Monthly download and refresh cycle.</t>
  </si>
  <si>
    <t xml:space="preserve">POPULATED. Monthly victim post volume Jan 2022 through Apr 2026 loaded into Leak Site Signals tab from Ransomware.live and Ransomlook.io source files. Update: download fresh source files monthly and refresh tab.</t>
  </si>
  <si>
    <t xml:space="preserve">No additional partner engagement required at current fidelity. Automation via Claude Code or scheduled script recommended for scale. Validate against Ransomwatch quarterly for coverage gaps.</t>
  </si>
  <si>
    <t xml:space="preserve">POPULATED</t>
  </si>
  <si>
    <t xml:space="preserve">C-3b</t>
  </si>
  <si>
    <t xml:space="preserve">Leak Site Time-to-Publish (Signal 2)</t>
  </si>
  <si>
    <t xml:space="preserve">Coveware/Chainalysis negotiation timelines; Ransomlook.io discovered date; private sector IR firms</t>
  </si>
  <si>
    <t xml:space="preserve">Framework coordinator. Coveware/Chainalysis supplementary.</t>
  </si>
  <si>
    <t xml:space="preserve">Average days from confirmed compromise to leak site publication. Ransomlook.io provides discovered date; compromise date requires IR firm or CERT reporting. Trend direction is the primary signal; absolute precision not required.</t>
  </si>
  <si>
    <t xml:space="preserve">Compression in time-to-publish is a pressure signal indicating operators accelerating due to disruption fear. Engage IR firms by positioning this as a shared indicator benefiting their threat briefing products.</t>
  </si>
  <si>
    <t xml:space="preserve">C-3c</t>
  </si>
  <si>
    <t xml:space="preserve">Takedown/Relaunch Cycle (Signal 3)</t>
  </si>
  <si>
    <t xml:space="preserve">Public LE announcements (FBI, NCA, Europol, DOJ); Ransomware.live/Ransomlook.io site status monitoring; Chainalysis</t>
  </si>
  <si>
    <t xml:space="preserve">Framework coordinator. FVEY LE partners for takedown date confirmation.</t>
  </si>
  <si>
    <t xml:space="preserve">Per event</t>
  </si>
  <si>
    <t xml:space="preserve">Log each site takedown and relaunch event: brand, takedown date, relaunch date, relaunch type, days to relaunch. Reference entries (LockBit, BlackCat, RansomHub, QakBot) already populated.</t>
  </si>
  <si>
    <t xml:space="preserve">Most concrete measure of infrastructure resilience. LE partners benefit from a structured record showing whether takedowns produce durable effects. Supports public attribution narratives.</t>
  </si>
  <si>
    <t xml:space="preserve">L1/L2 PARTIAL</t>
  </si>
  <si>
    <t xml:space="preserve">MESO LAYER: Node Pressure Metrics</t>
  </si>
  <si>
    <t xml:space="preserve">M-01</t>
  </si>
  <si>
    <t xml:space="preserve">OTC Broker Designation Coverage (Node 01)</t>
  </si>
  <si>
    <t xml:space="preserve">Chainalysis/TRM (top-20 OTC identification); OFAC SDN; Treasury designation pipeline; Intel 471/Flashpoint (underground OTC advertising)</t>
  </si>
  <si>
    <t xml:space="preserve">OFAC/Treasury primary. Chainalysis/TRM for broker identification.</t>
  </si>
  <si>
    <t xml:space="preserve">Monthly/per designation</t>
  </si>
  <si>
    <t xml:space="preserve">Commission Intermediary Cash-Out Mapping deliverable: top-20 OTC broker nodes, key mule network linkages, 3-5 fully mapped laundering chains from ransom demand to fiat. Designation pipeline coordination with OFAC required.</t>
  </si>
  <si>
    <t xml:space="preserve">Chainalysis/TRM benefit from demonstrated operational impact of their analysis feeding into designation packages. Position as a feedback loop: analysis produces designations, designations produce behavioral change, they track and publish.</t>
  </si>
  <si>
    <t xml:space="preserve">M-02</t>
  </si>
  <si>
    <t xml:space="preserve">Exchange VASP Friction Metrics (Node 02)</t>
  </si>
  <si>
    <t xml:space="preserve">VASP/Exchange LE Cooperation Reference (internal); OFAC SDN; FinCEN SARs; Chainalysis/TRM blockchain flow data</t>
  </si>
  <si>
    <t xml:space="preserve">Treasury/FinCEN primary. FVEY financial partners supplementary.</t>
  </si>
  <si>
    <t xml:space="preserve">Count of VASP EDD referrals acted on per quarter. Proportion of ransomware-attributed withdrawal addresses flagged at exchange level. Correspondent banking friction events. Cross-reference against internal VASP cooperation tier reference document.</t>
  </si>
  <si>
    <t xml:space="preserve">FinCEN and FVEY partners benefit from a shared metric demonstrating operational value of their VASP engagement programs. Links FATF correspondent banking pressure to measurable crypto ecosystem effects.</t>
  </si>
  <si>
    <t xml:space="preserve">M-03</t>
  </si>
  <si>
    <t xml:space="preserve">BPH Reconstitution Speed (Node 03)</t>
  </si>
  <si>
    <t xml:space="preserve">Shadowserver; Censys; FBI/NCA post-action monitoring; public LE disclosures</t>
  </si>
  <si>
    <t xml:space="preserve">FBI/NCA/Shadowserver. Post-action follow-up protocol currently ad hoc.</t>
  </si>
  <si>
    <t xml:space="preserve">Per action; 30/90/180-day follow-up</t>
  </si>
  <si>
    <t xml:space="preserve">Quarterly BPH report scoped to Russia/CIS-linked ransomware: active provider counts, ASN concentration, average time from takedown to reappearance, infrastructure overlap across families. Post-action follow-up protocol must be formalized.</t>
  </si>
  <si>
    <t xml:space="preserve">Shadowserver and infrastructure mapping partners benefit from citation in interagency products. Formalized post-action reporting supports LE public attribution and justifies future operational resources.</t>
  </si>
  <si>
    <t xml:space="preserve">M-04</t>
  </si>
  <si>
    <t xml:space="preserve">IAB Market Volume and Pricing (Node 04)</t>
  </si>
  <si>
    <t xml:space="preserve">Intel 471; Flashpoint; Recorded Future; CISA victim notification data; underground forums (Exploit, XSS)</t>
  </si>
  <si>
    <t xml:space="preserve">Intel 471/Flashpoint primary. CISA for victim notification closure rate.</t>
  </si>
  <si>
    <t xml:space="preserve">Monthly (volume); Quarterly (pricing)</t>
  </si>
  <si>
    <t xml:space="preserve">Monthly IAB listing volume on Exploit/XSS. Average asking price by access type (RDP, VPN, domain admin). Top-10 operator churn rate quarterly. Victim notification success rate via CISA ISAC coordination.</t>
  </si>
  <si>
    <t xml:space="preserve">Underground intel vendors benefit from demonstrating their monitoring feeds operational outcomes. CISA benefits from a formal feedback loop between their notification program and ecosystem-level impact metrics.</t>
  </si>
  <si>
    <t xml:space="preserve">M-07</t>
  </si>
  <si>
    <t xml:space="preserve">Underground Trust Health (Node 07)</t>
  </si>
  <si>
    <t xml:space="preserve">Intel 471; Flashpoint; Chainalysis (wallet behavior anomalies); public forum dispute threads</t>
  </si>
  <si>
    <t xml:space="preserve">Intel 471/Flashpoint primary. No current ownership gap.</t>
  </si>
  <si>
    <t xml:space="preserve">Arbitration request volume and accusation threads on Exploit/XSS by target actor and time proximity to pressure actions. Escrow operator count serving major RaaS brands. Time to re-establish escrow post-takedown.</t>
  </si>
  <si>
    <t xml:space="preserve">Trust degradation metrics are the leading indicator that financial disruption is translating into ecosystem friction. Position as the early warning layer that predicts macro Theme B movements before they appear in arrest or payment data.</t>
  </si>
  <si>
    <t xml:space="preserve">M-08</t>
  </si>
  <si>
    <t xml:space="preserve">Mixer/Obfuscation Service Coverage (Node 08)</t>
  </si>
  <si>
    <t xml:space="preserve">Chainalysis/TRM (mixer volume, bridge migration patterns); OFAC SDN; public Chainalysis reporting</t>
  </si>
  <si>
    <t xml:space="preserve">Chainalysis/TRM primary. OFAC for designation pipeline.</t>
  </si>
  <si>
    <t xml:space="preserve">Mixer usage volume as percentage of total ransomware cash-out flows. Post-designation fund migration patterns (to bridges, personal wallets, substitute mixers). Active mixer/bridge inventory vs. pre-designation baseline.</t>
  </si>
  <si>
    <t xml:space="preserve">Mixer disruption metrics provide the clearest causal evidence in the framework. Each designation produces an observable behavioral shift trackable on-chain. Position Chainalysis/TRM as the measurement partner that makes the causal chain visible to leadership.</t>
  </si>
  <si>
    <t xml:space="preserve">M-09A</t>
  </si>
  <si>
    <t xml:space="preserve">Domestic Mule Network Visibility (Node 09A)</t>
  </si>
  <si>
    <t xml:space="preserve">Rosfinmonitoring/FNS/CBR channel access; Egmont FIU network; Belarus FIU (viable backdoor); internal referral logs</t>
  </si>
  <si>
    <t xml:space="preserve">Rosfinmonitoring channel. Highest-priority unassigned gap. Belarus FIU as interim channel for non-FSB-protected targets.</t>
  </si>
  <si>
    <t xml:space="preserve">Quarterly (if channel established)</t>
  </si>
  <si>
    <t xml:space="preserve">HIGHEST-PRIORITY L2 GAP. No open-source visibility into domestic Russian mule networks. Requires formal back-channel FIU relationship. Belarus FIU is only credible Egmont backdoor with meaningful probability of forwarding referrals, and only for non-FSB-protected targets. Must be explicit interagency agenda item.</t>
  </si>
  <si>
    <t xml:space="preserve">Do not frame as a Russia cooperation request. Frame as a financial crime referral through Belarus FIU using 115-FZ fraud framing (Articles 159-159.6) to avoid political protection triggers. Three-track referral architecture applies.</t>
  </si>
  <si>
    <t xml:space="preserve">M-09B</t>
  </si>
  <si>
    <t xml:space="preserve">Third-Country Mule Prosecution Packages (Node 09B)</t>
  </si>
  <si>
    <t xml:space="preserve">FVEY LE partners; Europol; MLAT referral tracking; public Chainalysis crypto-fiat nexus data</t>
  </si>
  <si>
    <t xml:space="preserve">FVEY LE/Europol. MLAT referral count and action rate require formal partner reporting.</t>
  </si>
  <si>
    <t xml:space="preserve">MLAT referral count and action rate per quarter. Third-country prosecution packages initiated vs. completed. Crypto-fiat nexus linkages from public Chainalysis data. Partially visible through existing MLAT actions.</t>
  </si>
  <si>
    <t xml:space="preserve">FVEY partners benefit from a shared ledger demonstrating operational value of MLAT cooperation. Supports diplomatic arguments for expanding third-country LE cooperation agreements.</t>
  </si>
  <si>
    <t xml:space="preserve">MICRO LAYER: Operation Log</t>
  </si>
  <si>
    <t xml:space="preserve">MICRO</t>
  </si>
  <si>
    <t xml:space="preserve">Per-Operation Log (all nodes)</t>
  </si>
  <si>
    <t xml:space="preserve">Owning agency operational records; WAIS scoring outputs; meso-layer node metrics at 30/90/180-day intervals</t>
  </si>
  <si>
    <t xml:space="preserve">CRITICAL GAP: No designated log aggregator assigned. Must be resolved before any coordinated pressure campaign is measurable.</t>
  </si>
  <si>
    <t xml:space="preserve">Per action; 30/90/180-day updates</t>
  </si>
  <si>
    <t xml:space="preserve">Every disruption action requires a log entry with pre-action fields populated before acting. Minimum: operation ID, date, target node, action type, expected primary effect (30 days), backfire risk. Update at 30, 90, and 180 days. Undocumented operations do not count toward ecosystem metrics.</t>
  </si>
  <si>
    <t xml:space="preserve">Without a populated micro log, macro KPI movements cannot be attributed to specific actions. The interagency question is not whether to do this but which agency or team owns aggregation. That ownership decision is the agenda item.</t>
  </si>
  <si>
    <t xml:space="preserve">GOVERNANCE NOTES FOR INTERAGENCY USE</t>
  </si>
  <si>
    <t xml:space="preserve">RED entries</t>
  </si>
  <si>
    <t xml:space="preserve">Unassigned ownership gaps. These are interagency agenda items, not silent deficiencies. The framework makes gaps visible by design.</t>
  </si>
  <si>
    <t xml:space="preserve">GREEN entries</t>
  </si>
  <si>
    <t xml:space="preserve">L1 operational or populated. Data is available now from existing sources.</t>
  </si>
  <si>
    <t xml:space="preserve">Vendor concentration risk</t>
  </si>
  <si>
    <t xml:space="preserve">Multiple KPIs depend on a small set of commercial vendors (Chainalysis, Coveware, Intel 471/Flashpoint, Ransomware.live). Loss of any single vendor degrades a confidence tier. Maintain at least one cross-validation source per node.</t>
  </si>
  <si>
    <t xml:space="preserve">Time-window coordination</t>
  </si>
  <si>
    <t xml:space="preserve">WAIS is per-arrest, Group Pressure is per-group, macro KPIs are quarterly, leak site signals are monthly. Quarterly narrative synthesis must explicitly bridge these cadences to avoid apples-to-oranges comparisons in leadership reporting.</t>
  </si>
  <si>
    <t xml:space="preserve">Micro log ownership</t>
  </si>
  <si>
    <t xml:space="preserve">CRITICAL: Without a designated aggregator for the Operation Log, the causal chain from micro actions to macro outcomes cannot be maintained. This is the single highest-priority governance gap in the framework.</t>
  </si>
  <si>
    <t xml:space="preserve">WEIGHTED ARREST IMPACT SCORE (WAIS) SCORER</t>
  </si>
  <si>
    <t xml:space="preserve">One row per arrest event. Score each dimension, WAIS total calculates automatically. Mark Cooperation Output PENDING if debrief is incomplete.</t>
  </si>
  <si>
    <t xml:space="preserve">WAIS = Sum of four dimension scores (4-12). Score 10-12: High ecosystem impact. Score 7-9: Moderate. Score 4-6: Limited. +2 coordination bonus applies to highest score in a multi-arrest operation.</t>
  </si>
  <si>
    <t xml:space="preserve">Operation ID</t>
  </si>
  <si>
    <t xml:space="preserve">Date</t>
  </si>
  <si>
    <t xml:space="preserve">Actor / Handle</t>
  </si>
  <si>
    <t xml:space="preserve">Node Criticality
(1/2/3)</t>
  </si>
  <si>
    <t xml:space="preserve">Cooperation Output
(1/2/3/PENDING)</t>
  </si>
  <si>
    <t xml:space="preserve">Trust Cascade
(1/2/3)</t>
  </si>
  <si>
    <t xml:space="preserve">Reconstitution Impact
(1/2/3)</t>
  </si>
  <si>
    <t xml:space="preserve">WAIS Base
[AUTO]</t>
  </si>
  <si>
    <t xml:space="preserve">Coord Bonus?
(Yes/No)</t>
  </si>
  <si>
    <t xml:space="preserve">WAIS Final
[AUTO]</t>
  </si>
  <si>
    <t xml:space="preserve">Score Category
[AUTO]</t>
  </si>
  <si>
    <t xml:space="preserve">WAIS SCORING REFERENCE</t>
  </si>
  <si>
    <t xml:space="preserve">Dimension</t>
  </si>
  <si>
    <t xml:space="preserve">Score 1: Limited</t>
  </si>
  <si>
    <t xml:space="preserve">Score 2: Moderate</t>
  </si>
  <si>
    <t xml:space="preserve">Score 3: High</t>
  </si>
  <si>
    <t xml:space="preserve">Node Criticality</t>
  </si>
  <si>
    <t xml:space="preserve">Replaceable affiliate or low-tier support. Substitutable within 30 days.</t>
  </si>
  <si>
    <t xml:space="preserve">Mid-tier operator or specialist (IAB, mule coordinator, BPH). Substitutable with friction.</t>
  </si>
  <si>
    <t xml:space="preserve">Non-substitutable: RaaS core team, key OTC broker, protection-layer officer.</t>
  </si>
  <si>
    <t xml:space="preserve">Cooperation Output</t>
  </si>
  <si>
    <t xml:space="preserve">No cooperation, or no actionable intelligence beyond arrested actor.</t>
  </si>
  <si>
    <t xml:space="preserve">Partial cooperation. Some identity, infrastructure, or financial data.</t>
  </si>
  <si>
    <t xml:space="preserve">Full cooperation. Follow-on arrests, financial records at scale, or protection-layer intelligence.</t>
  </si>
  <si>
    <t xml:space="preserve">Trust Cascade Effect</t>
  </si>
  <si>
    <t xml:space="preserve">No observable disruption. Ecosystem continued without behavioral change.</t>
  </si>
  <si>
    <t xml:space="preserve">Localized disruption. Immediate network went dark or changed comms infrastructure.</t>
  </si>
  <si>
    <t xml:space="preserve">Broad cascade. Multiple actors burned infrastructure, forum-level confidence disruption.</t>
  </si>
  <si>
    <t xml:space="preserve">Reconstitution Impact</t>
  </si>
  <si>
    <t xml:space="preserve">Full reconstitution within 30 days at comparable capacity.</t>
  </si>
  <si>
    <t xml:space="preserve">Partial reconstitution at 31-90 days at reduced capacity or under new brand.</t>
  </si>
  <si>
    <t xml:space="preserve">Failed or significantly delayed. 90+ days out, or successor below 50% capacity at 180 days.</t>
  </si>
  <si>
    <t xml:space="preserve">MACRO KPI DASHBOARD: THREE THEMES</t>
  </si>
  <si>
    <t xml:space="preserve">Quarterly tracking for Themes A, B, C. Enter data each quarter. All KPIs scoped to Russia/CIS-linked ransomware.</t>
  </si>
  <si>
    <t xml:space="preserve">REPORTING PERIODS</t>
  </si>
  <si>
    <t xml:space="preserve">Confidence</t>
  </si>
  <si>
    <t xml:space="preserve">Q1 2026</t>
  </si>
  <si>
    <t xml:space="preserve">Q2 2026</t>
  </si>
  <si>
    <t xml:space="preserve">Q3 2026</t>
  </si>
  <si>
    <t xml:space="preserve">Q4 2026</t>
  </si>
  <si>
    <t xml:space="preserve">Trend</t>
  </si>
  <si>
    <t xml:space="preserve">Notes / Annotation</t>
  </si>
  <si>
    <t xml:space="preserve">Maturity</t>
  </si>
  <si>
    <t xml:space="preserve">THEME A: More Russian Domestic Enforcement</t>
  </si>
  <si>
    <t xml:space="preserve">CREDIBLE</t>
  </si>
  <si>
    <t xml:space="preserve">0 confirmed (open source)</t>
  </si>
  <si>
    <t xml:space="preserve">No Change</t>
  </si>
  <si>
    <t xml:space="preserve">Russian domestic enforcement against ecosystem actors: 0 elite-tier actions visible in open source 2025. Most significant baseline = absence of action. REvil arrests (Jan 2022) remain the last confirmed elite-tier Russian enforcement event.</t>
  </si>
  <si>
    <t xml:space="preserve">L1/L2 Partial</t>
  </si>
  <si>
    <t xml:space="preserve">UNKNOWN</t>
  </si>
  <si>
    <t xml:space="preserve">Insufficient Data</t>
  </si>
  <si>
    <t xml:space="preserve">Requires internal operation log population. L2 gap. No seeded referral program currently documented.</t>
  </si>
  <si>
    <t xml:space="preserve">L2 - Requires Buy-In</t>
  </si>
  <si>
    <t xml:space="preserve">Seeded Exposure Lag</t>
  </si>
  <si>
    <t xml:space="preserve">CREDIBLE / ANALYST INFERENCE</t>
  </si>
  <si>
    <t xml:space="preserve">Feed documentation mandatory. Track by effect type: publication / behavioral change / protection status / enforcement.</t>
  </si>
  <si>
    <t xml:space="preserve">L2</t>
  </si>
  <si>
    <t xml:space="preserve">Protection Relationship Status: Active Count</t>
  </si>
  <si>
    <t xml:space="preserve">L2 gap. Requires IC reporting feeds. This metric is a priority agenda item for the partner meeting.</t>
  </si>
  <si>
    <t xml:space="preserve">A-3b</t>
  </si>
  <si>
    <t xml:space="preserve">Protection Relationship Status: Strained Count</t>
  </si>
  <si>
    <t xml:space="preserve">L2 gap.</t>
  </si>
  <si>
    <t xml:space="preserve">A-3c</t>
  </si>
  <si>
    <t xml:space="preserve">Protection Relationship Status: Broken Count</t>
  </si>
  <si>
    <t xml:space="preserve">THEME B: Visible FSB/RIS Strife</t>
  </si>
  <si>
    <t xml:space="preserve">WAIS: High Impact Arrests (Score 10-12)</t>
  </si>
  <si>
    <t xml:space="preserve">CONFIRMED</t>
  </si>
  <si>
    <t xml:space="preserve">2 (LockBit affiliated operators, Operation Cronos Feb 2024)</t>
  </si>
  <si>
    <t xml:space="preserve">Improving</t>
  </si>
  <si>
    <t xml:space="preserve">LockBit-affiliated operators (Poland/Ukraine): WAIS 6-8 + coordination bonus. LockBit developer Panev: arrested Israel, awaiting extradition, WAIS PENDING debrief.</t>
  </si>
  <si>
    <t xml:space="preserve">B-1b</t>
  </si>
  <si>
    <t xml:space="preserve">WAIS: Moderate Impact Arrests (Score 7-9)</t>
  </si>
  <si>
    <t xml:space="preserve">0 in 2025 (Q1-Q3 observable)</t>
  </si>
  <si>
    <t xml:space="preserve">No arrests scoring 7-9 in 2025 observable from open source. LockBit Cronos arrests scored in this range.</t>
  </si>
  <si>
    <t xml:space="preserve">Affiliate Defection Rate (new splinter groups per disruption event)</t>
  </si>
  <si>
    <t xml:space="preserve">HIGH. Multiple instances</t>
  </si>
  <si>
    <t xml:space="preserve">RansomHub affiliates to DragonForce/Qilin (April 2025). LockBit affiliates to RansomHub (2024). BlackCat affiliates to RansomHub (2024). Pattern: major brand collapse produces rapid affiliate redistribution.</t>
  </si>
  <si>
    <t xml:space="preserve">L1 - Operational Now</t>
  </si>
  <si>
    <t xml:space="preserve">Exit Scam Frequency (per quarter)</t>
  </si>
  <si>
    <t xml:space="preserve">2 confirmed (BlackCat Mar 2024, RansomHub Apr 2025)</t>
  </si>
  <si>
    <t xml:space="preserve">Worsening</t>
  </si>
  <si>
    <t xml:space="preserve">Two exit scams in 14 months. Both followed law enforcement pressure accumulation. Pattern: LE pressure + large payment = exit scam risk elevated.</t>
  </si>
  <si>
    <t xml:space="preserve">B-2c</t>
  </si>
  <si>
    <t xml:space="preserve">New RaaS Brand Emergence Rate (per quarter)</t>
  </si>
  <si>
    <t xml:space="preserve">INDICATIVE</t>
  </si>
  <si>
    <t xml:space="preserve">85 groups tracked Q3 2025. 45 new in 2025 through Q3.</t>
  </si>
  <si>
    <t xml:space="preserve">Record fragmentation. 46 new groups in 2024 (48% of all active groups). 85 separate groups tracked Q3 2025 (Check Point Research). Fragmentation is both a disruption signal and a resilience risk.</t>
  </si>
  <si>
    <t xml:space="preserve">THEME C: Fewer Payments and Worse Economics</t>
  </si>
  <si>
    <t xml:space="preserve">Ransom Payment Volume (USD, estimated)</t>
  </si>
  <si>
    <t xml:space="preserve">$813M (2024). ~$820M est. 2025 (Chainalysis)</t>
  </si>
  <si>
    <t xml:space="preserve">35% decline from 2023 record $1.25B. On-chain 2025 estimate: ~$820M. NOTE: Bitcoin price appreciation in 2024-2025 means some decline reflects crypto market, not pure disruption effect. Annotate accordingly.</t>
  </si>
  <si>
    <t xml:space="preserve">C-1b</t>
  </si>
  <si>
    <t xml:space="preserve">Victim Count (published, leak sites)</t>
  </si>
  <si>
    <t xml:space="preserve">5,243 (2024). 7,515 (2025)</t>
  </si>
  <si>
    <t xml:space="preserve">Record highs both years. Q4 2024: 1,663 victims (record quarter). November 2024: 632 victims (record month). 2025 annual total 44% above 2024.</t>
  </si>
  <si>
    <t xml:space="preserve">C-1c</t>
  </si>
  <si>
    <t xml:space="preserve">Payment/Victim Divergence</t>
  </si>
  <si>
    <t xml:space="preserve">Payment declining, victims rising = widening divergence</t>
  </si>
  <si>
    <t xml:space="preserve">AUTO: divergence = payment declining vs. victim count rising. This is the core business model degradation signal. 2024: $813M / 5,243 victims = $155K/victim avg payment (vs $275K/victim in 2023).</t>
  </si>
  <si>
    <t xml:space="preserve">Victim Payment Rate: Critical Infrastructure (%)</t>
  </si>
  <si>
    <t xml:space="preserve">UNKNOWN by sector</t>
  </si>
  <si>
    <t xml:space="preserve">Sector-specific breakdown not publicly available from Coveware. All-sector rate: fewer than 50% in 2024, 23% Q3 2025 (Coveware). Sector breakdown requires direct Coveware engagement or ISAC data.</t>
  </si>
  <si>
    <t xml:space="preserve">C-2b</t>
  </si>
  <si>
    <t xml:space="preserve">Victim Payment Rate: Healthcare (%)</t>
  </si>
  <si>
    <t xml:space="preserve">UNKNOWN (healthcare elevated vs avg)</t>
  </si>
  <si>
    <t xml:space="preserve">Healthcare assessed above-average payment rate due to operational sensitivity. Specific rate UNKNOWN.</t>
  </si>
  <si>
    <t xml:space="preserve">C-2c</t>
  </si>
  <si>
    <t xml:space="preserve">Victim Payment Rate: General Commercial (%)</t>
  </si>
  <si>
    <t xml:space="preserve">23% all-sector Q3 2025 (historic low)</t>
  </si>
  <si>
    <t xml:space="preserve">Coveware Q3 2025: 23% payment rate (historic low). Q4 2025 est: ~20% (Coveware). Six-year consecutive decline. Large enterprises increasingly refusing to pay.</t>
  </si>
  <si>
    <t xml:space="preserve">Leak Site Post Volume (monthly avg)</t>
  </si>
  <si>
    <t xml:space="preserve">553/month avg Q4 2024. ~626/month avg 2025.</t>
  </si>
  <si>
    <t xml:space="preserve">Post volumes at record highs. Signal: groups compensating for lower payment rates with higher attack tempo. More victims, less revenue per victim.</t>
  </si>
  <si>
    <t xml:space="preserve">Avg Time-to-Publish (days)</t>
  </si>
  <si>
    <t xml:space="preserve">Compressing. Negotiations begin within hours of exfiltration.</t>
  </si>
  <si>
    <t xml:space="preserve">Chainalysis 2025 Crypto Crime Report: ransomware operations faster, negotiations beginning within hours of data exfiltration. Compression = groups under pressure to escalate.</t>
  </si>
  <si>
    <t xml:space="preserve">Avg Takedown/Relaunch Cycle (days)</t>
  </si>
  <si>
    <t xml:space="preserve">Mixed. LockBit: 5 days (fast). RansomHub: no relaunch (dissolved). BlackCat: 48-72hrs then dissolved.</t>
  </si>
  <si>
    <t xml:space="preserve">Variance in cycle: large franchise brands taking longer to reconstitute post-disruption than in prior years. RansomHub did not relaunch. Ecosystem fragmentation means individual brand dissolution has less macro impact.</t>
  </si>
  <si>
    <t xml:space="preserve">NODE PRESSURE METRICS: MESO LAYER</t>
  </si>
  <si>
    <t xml:space="preserve">Per-node cluster metrics. Update monthly or per action. Maps to companion disruption playbooks Phase A (Nodes 01-03), Phase B (04/07/08), Phase C (05/06/09).</t>
  </si>
  <si>
    <t xml:space="preserve">Node</t>
  </si>
  <si>
    <t xml:space="preserve">Priority</t>
  </si>
  <si>
    <t xml:space="preserve">Key Metrics / Current Status</t>
  </si>
  <si>
    <t xml:space="preserve">Designated Owner</t>
  </si>
  <si>
    <t xml:space="preserve">Last Updated</t>
  </si>
  <si>
    <t xml:space="preserve">Level</t>
  </si>
  <si>
    <t xml:space="preserve">Notes</t>
  </si>
  <si>
    <t xml:space="preserve">Action Required?</t>
  </si>
  <si>
    <t xml:space="preserve">Node 01: OTC Crypto Brokers</t>
  </si>
  <si>
    <t xml:space="preserve">CRITICAL</t>
  </si>
  <si>
    <t xml:space="preserve">Financial friction significantly elevated. Operators holding funds in personal wallets (unprecedented caution). No-KYC exchange usage declined sharply post-Cryptex/Garantex designations. Actors shifting to cross-chain bridges.</t>
  </si>
  <si>
    <t xml:space="preserve">OFAC / Treasury / Chainalysis</t>
  </si>
  <si>
    <t xml:space="preserve">Apr 2026</t>
  </si>
  <si>
    <t xml:space="preserve">Node 02: High-Risk Exchanges</t>
  </si>
  <si>
    <t xml:space="preserve">Primary no-KYC exchange landscape degraded. German LE seized 47 Russian-language no-KYC exchanges (Sep 2024). OFAC SDN list: 1,200+ crypto wallet addresses. Centralized exchanges remain dominant cash-out (39% of flows).</t>
  </si>
  <si>
    <t xml:space="preserve">Treasury / FinCEN / FVEY financial partners</t>
  </si>
  <si>
    <t xml:space="preserve">Node 03: Bulletproof Hosting (BPH)</t>
  </si>
  <si>
    <t xml:space="preserve">Significant recent disruptions. Zservers sanctioned Feb 2025 (OFAC/FCDO/DFAT joint action). Aeza Group sanctioned. Operation Endgame extended May 2025. BPH operators rebuilding under new names.</t>
  </si>
  <si>
    <t xml:space="preserve">FBI / NCA / Shadowserver</t>
  </si>
  <si>
    <t xml:space="preserve">Node 04: IAB Markets</t>
  </si>
  <si>
    <t xml:space="preserve">HIGH</t>
  </si>
  <si>
    <t xml:space="preserve">IAB market active. ~$14M paid to IABs in 2025 (Chainalysis). VPN credential exploitation dominant access vector (28.6% of Q3 2024 ransomware attacks). Systematic pricing data requires Intel 471/Flashpoint.</t>
  </si>
  <si>
    <t xml:space="preserve">Intel 471 / Flashpoint / CISA</t>
  </si>
  <si>
    <t xml:space="preserve">Node 05: Botnet/Loaders</t>
  </si>
  <si>
    <t xml:space="preserve">QakBot disrupted Aug 2023, partial reconstitution within 90-180 days. Operation Endgame (May 2024, extended May 2025) disrupted IcedID, SystemBC, Pikabot predecessors. Successor loaders filling partial gap.</t>
  </si>
  <si>
    <t xml:space="preserve">FBI / NCA / Europol / national CERTs</t>
  </si>
  <si>
    <t xml:space="preserve">Node 06: Leak Site Hosting</t>
  </si>
  <si>
    <t xml:space="preserve">Record 81 active data leak sites tracked Q3 2025. High fragmentation. Individual site takedowns produce fast relaunch. Volume of sites = ecosystem fragmentation signal.</t>
  </si>
  <si>
    <t xml:space="preserve">FBI / Europol / FVEY LE</t>
  </si>
  <si>
    <t xml:space="preserve">Node 07: Underground Trust Infrastructure</t>
  </si>
  <si>
    <t xml:space="preserve">Trust under elevated strain. Two exit scams in 14 months. Coveware: RaaS model 'has not recovered' since LockBit/ALPHV disruptions. Lone wolf attacks increasing as affiliates trust RaaS operators less.</t>
  </si>
  <si>
    <t xml:space="preserve">Intel 471 / Flashpoint</t>
  </si>
  <si>
    <t xml:space="preserve">Node 08: Mixing/Obfuscation Services</t>
  </si>
  <si>
    <t xml:space="preserve">Mixer ecosystem significantly degraded. Chipmixer seized 2023. Sinbad seized. Tornado Cash designated 2022 (delisted Mar 2025 on court ruling). Substantial decline in mixer usage confirmed. Actors shifting to cross-chain bridges and personal wallets.</t>
  </si>
  <si>
    <t xml:space="preserve">Chainalysis / TRM / OFAC</t>
  </si>
  <si>
    <t xml:space="preserve">Node 09A: Mule Networks (Russia-Domestic)</t>
  </si>
  <si>
    <t xml:space="preserve">UNKNOWN. Highest-priority L2 gap. Requires Rosfinmonitoring channel access. No open-source visibility.</t>
  </si>
  <si>
    <t xml:space="preserve">Rosfinmonitoring / FNS / CBR channel</t>
  </si>
  <si>
    <t xml:space="preserve">Node 09B: Mule Networks (Third-Country)</t>
  </si>
  <si>
    <t xml:space="preserve">Partially visible. MLAT actions and third-country prosecutions. Specific referral counts require FVEY LE/Europol partner reporting.</t>
  </si>
  <si>
    <t xml:space="preserve">FVEY LE / Europol / MLAT partners</t>
  </si>
  <si>
    <t xml:space="preserve">Node 10: Stealer/Credential Markets</t>
  </si>
  <si>
    <t xml:space="preserve">MEDIUM</t>
  </si>
  <si>
    <t xml:space="preserve">Directional: stealer market disruption produces IAB price impact at 60-90 day lag. Attribution distance high. INDICATIVE only.</t>
  </si>
  <si>
    <t xml:space="preserve">Intel 471 / Flashpoint / private sector</t>
  </si>
  <si>
    <t xml:space="preserve">Node 11: Underground Marketplaces</t>
  </si>
  <si>
    <t xml:space="preserve">Record 81 data leak sites Q3 2025. Forum migration to Telegram ongoing. New group emergence at record pace. Fragmentation elevated.</t>
  </si>
  <si>
    <t xml:space="preserve">LEAK SITE THREE-SIGNAL COMPOSITE (KPI C-3)</t>
  </si>
  <si>
    <t xml:space="preserve">Track three signals independently. Do not collapse into a single number. Sources: Ransomlook, Ransomware.live, Ransomwatch, DarkFeed (cross-validate).</t>
  </si>
  <si>
    <t xml:space="preserve">SIGNAL 1: POST VOLUME (Victims published per month across all active leak sites) | Confidence: CONFIRMED</t>
  </si>
  <si>
    <t xml:space="preserve">Month</t>
  </si>
  <si>
    <t xml:space="preserve">Post Volume</t>
  </si>
  <si>
    <t xml:space="preserve">vs. Prior Month</t>
  </si>
  <si>
    <t xml:space="preserve">vs. 3-Month Avg</t>
  </si>
  <si>
    <t xml:space="preserve">Data Source</t>
  </si>
  <si>
    <t xml:space="preserve">Q1 2024</t>
  </si>
  <si>
    <t xml:space="preserve">Note: Annual 2024 = 5,243 victims. Annual 2025 = 7,515 victims (GuidePoint).</t>
  </si>
  <si>
    <t xml:space="preserve">Corvus Insurance Q1 2024</t>
  </si>
  <si>
    <t xml:space="preserve">Q2 2024</t>
  </si>
  <si>
    <t xml:space="preserve">Corvus Insurance Q2 2024</t>
  </si>
  <si>
    <t xml:space="preserve">Q3 2024</t>
  </si>
  <si>
    <t xml:space="preserve">Corvus Insurance Q3 2024</t>
  </si>
  <si>
    <t xml:space="preserve">Q4 2024</t>
  </si>
  <si>
    <t xml:space="preserve">Corvus Insurance Q4 2024 (record quarter)</t>
  </si>
  <si>
    <t xml:space="preserve">Jan 2025</t>
  </si>
  <si>
    <t xml:space="preserve">Est. from annual total</t>
  </si>
  <si>
    <t xml:space="preserve">Feb 2025</t>
  </si>
  <si>
    <t xml:space="preserve">Est.</t>
  </si>
  <si>
    <t xml:space="preserve">Mar 2025</t>
  </si>
  <si>
    <t xml:space="preserve">Apr 2025</t>
  </si>
  <si>
    <t xml:space="preserve">Est. (RansomHub collapse)</t>
  </si>
  <si>
    <t xml:space="preserve">May 2025</t>
  </si>
  <si>
    <t xml:space="preserve">Jun 2025</t>
  </si>
  <si>
    <t xml:space="preserve">Jul 2025</t>
  </si>
  <si>
    <t xml:space="preserve">Aug 2025</t>
  </si>
  <si>
    <t xml:space="preserve">Sep 2025</t>
  </si>
  <si>
    <t xml:space="preserve">Est. Q3 2025: 85 groups active (Check Point)</t>
  </si>
  <si>
    <t xml:space="preserve">SIGNAL 2: TIME-TO-PUBLISH (Days from confirmed compromise to leak site publication) | Confidence: CREDIBLE</t>
  </si>
  <si>
    <t xml:space="preserve">Avg Days (all groups)</t>
  </si>
  <si>
    <t xml:space="preserve">Compression Signal</t>
  </si>
  <si>
    <t xml:space="preserve">Groups Tracked</t>
  </si>
  <si>
    <t xml:space="preserve">2023 avg</t>
  </si>
  <si>
    <t xml:space="preserve">Est. baseline</t>
  </si>
  <si>
    <t xml:space="preserve">2024 avg</t>
  </si>
  <si>
    <t xml:space="preserve">Chainalysis: negotiations begin within hours of exfiltration in 2024</t>
  </si>
  <si>
    <t xml:space="preserve">Q1 2025</t>
  </si>
  <si>
    <t xml:space="preserve">Compressing further per Coveware/Chainalysis</t>
  </si>
  <si>
    <t xml:space="preserve">Q2 2025</t>
  </si>
  <si>
    <t xml:space="preserve">Q3 2025</t>
  </si>
  <si>
    <t xml:space="preserve">SIGNAL 3: TAKEDOWN/RELAUNCH CYCLE (Days between site going dark and functional replacement) | Confidence: CONFIRMED</t>
  </si>
  <si>
    <t xml:space="preserve">Group/Brand</t>
  </si>
  <si>
    <t xml:space="preserve">Takedown Date</t>
  </si>
  <si>
    <t xml:space="preserve">Relaunch Date</t>
  </si>
  <si>
    <t xml:space="preserve">Cycle Length (days)</t>
  </si>
  <si>
    <t xml:space="preserve">Relaunch Type</t>
  </si>
  <si>
    <t xml:space="preserve">Assessment</t>
  </si>
  <si>
    <t xml:space="preserve">LockBit (Operation Cronos)</t>
  </si>
  <si>
    <t xml:space="preserve">Feb 20, 2024</t>
  </si>
  <si>
    <t xml:space="preserve">Feb 25, 2024 (partial)</t>
  </si>
  <si>
    <t xml:space="preserve">Same brand</t>
  </si>
  <si>
    <t xml:space="preserve">Fast relaunch. High BPH resilience. Operation reduced capacity but brand survived.</t>
  </si>
  <si>
    <t xml:space="preserve">BlackCat/ALPHV (DOJ action)</t>
  </si>
  <si>
    <t xml:space="preserve">Dec 19, 2023</t>
  </si>
  <si>
    <t xml:space="preserve">Dec 20-21, 2023 (regained)</t>
  </si>
  <si>
    <t xml:space="preserve">Extremely fast re-seizure. Group then dissolved via exit scam March 2024.</t>
  </si>
  <si>
    <t xml:space="preserve">RansomHub</t>
  </si>
  <si>
    <t xml:space="preserve">Apr 1, 2025</t>
  </si>
  <si>
    <t xml:space="preserve">No relaunch confirmed</t>
  </si>
  <si>
    <t xml:space="preserve">No relaunch</t>
  </si>
  <si>
    <t xml:space="preserve">Brand dissolved. Affiliates redistributed. DragonForce announced absorption of affiliates.</t>
  </si>
  <si>
    <t xml:space="preserve">QakBot (Operation Duck Hunt)</t>
  </si>
  <si>
    <t xml:space="preserve">Aug 29, 2023</t>
  </si>
  <si>
    <t xml:space="preserve">Dec 2023 (partial rebuild)</t>
  </si>
  <si>
    <t xml:space="preserve">Partial reconstitution within 90-180 days at reduced scale. Reference model for Node 05.</t>
  </si>
  <si>
    <t xml:space="preserve">GROUP PRESSURE TRACKER</t>
  </si>
  <si>
    <t xml:space="preserve">One row per active target group. Baselines must be established before first action. For full detail see Group Pressure Tracking Template (Word document).</t>
  </si>
  <si>
    <t xml:space="preserve">This tab is a summary dashboard. Full per-group tracking (all metric fields, strife event log, WAIS log) is maintained in the Group Pressure Tracking Template Word document.</t>
  </si>
  <si>
    <t xml:space="preserve">Group Name</t>
  </si>
  <si>
    <t xml:space="preserve">Date First Action</t>
  </si>
  <si>
    <t xml:space="preserve">Operational Capacity vs. Baseline</t>
  </si>
  <si>
    <t xml:space="preserve">Financial Rail Status</t>
  </si>
  <si>
    <t xml:space="preserve">Protection Layer Status</t>
  </si>
  <si>
    <t xml:space="preserve">Leak Site Posts vs. Baseline</t>
  </si>
  <si>
    <t xml:space="preserve">Affiliate Count vs. Baseline</t>
  </si>
  <si>
    <t xml:space="preserve">Reconstitution Risk</t>
  </si>
  <si>
    <t xml:space="preserve">Last WAIS Score</t>
  </si>
  <si>
    <t xml:space="preserve">Strife Events (count)</t>
  </si>
  <si>
    <t xml:space="preserve">Next Review Date</t>
  </si>
  <si>
    <t xml:space="preserve">Dissolved</t>
  </si>
  <si>
    <t xml:space="preserve">0% (brand dissolved)</t>
  </si>
  <si>
    <t xml:space="preserve">Collapsed</t>
  </si>
  <si>
    <t xml:space="preserve">Unknown</t>
  </si>
  <si>
    <t xml:space="preserve">N/A</t>
  </si>
  <si>
    <t xml:space="preserve">Low</t>
  </si>
  <si>
    <t xml:space="preserve">0</t>
  </si>
  <si>
    <t xml:space="preserve">Jun 2026</t>
  </si>
  <si>
    <t xml:space="preserve">Qilin</t>
  </si>
  <si>
    <t xml:space="preserve">Fully Operational</t>
  </si>
  <si>
    <t xml:space="preserve">Rising (absorbed affiliates)</t>
  </si>
  <si>
    <t xml:space="preserve">Intact</t>
  </si>
  <si>
    <t xml:space="preserve">Unknown/None Assessed</t>
  </si>
  <si>
    <t xml:space="preserve">Rising vs baseline</t>
  </si>
  <si>
    <t xml:space="preserve">High</t>
  </si>
  <si>
    <t xml:space="preserve">Akira</t>
  </si>
  <si>
    <t xml:space="preserve">~100%</t>
  </si>
  <si>
    <t xml:space="preserve">Stable/rising</t>
  </si>
  <si>
    <t xml:space="preserve">LockBit</t>
  </si>
  <si>
    <t xml:space="preserve">Degraded</t>
  </si>
  <si>
    <t xml:space="preserve">Feb 2024</t>
  </si>
  <si>
    <t xml:space="preserve">~40-70% of pre-Cronos</t>
  </si>
  <si>
    <t xml:space="preserve">Partially Disrupted</t>
  </si>
  <si>
    <t xml:space="preserve">Active (assessed)</t>
  </si>
  <si>
    <t xml:space="preserve">Reduced vs baseline</t>
  </si>
  <si>
    <t xml:space="preserve">Partial</t>
  </si>
  <si>
    <t xml:space="preserve">DragonForce</t>
  </si>
  <si>
    <t xml:space="preserve">Rising rapidly</t>
  </si>
  <si>
    <t xml:space="preserve">Rising rapidly post-RansomHub</t>
  </si>
  <si>
    <t xml:space="preserve">Medium</t>
  </si>
  <si>
    <t xml:space="preserve">Black Basta</t>
  </si>
  <si>
    <t xml:space="preserve">Significantly Degraded</t>
  </si>
  <si>
    <t xml:space="preserve">Unknown post-leak</t>
  </si>
  <si>
    <t xml:space="preserve">Strained (assessed)</t>
  </si>
  <si>
    <t xml:space="preserve">Play</t>
  </si>
  <si>
    <t xml:space="preserve">Stable</t>
  </si>
  <si>
    <t xml:space="preserve">EXAMPLE ROW: RansomHub shown as illustrative pre-population. Replace with operational data.</t>
  </si>
  <si>
    <t xml:space="preserve">PER-OPERATION LOG: MICRO LAYER</t>
  </si>
  <si>
    <t xml:space="preserve">One row per disruption action. Populate pre-action fields before acting. Update at 30, 90, and 180 days. Every operation claiming ecosystem-level impact must have a log entry.</t>
  </si>
  <si>
    <t xml:space="preserve">This is the foundational data layer. Without populated micro-layer logs, macro and meso metrics are not defensible. Undocumented operations do not count toward ecosystem metrics.</t>
  </si>
  <si>
    <t xml:space="preserve">Target Node(s)</t>
  </si>
  <si>
    <t xml:space="preserve">Action Type</t>
  </si>
  <si>
    <t xml:space="preserve">Expected Primary Effect (30 days)</t>
  </si>
  <si>
    <t xml:space="preserve">Expected Secondary Effect (60-90 days)</t>
  </si>
  <si>
    <t xml:space="preserve">Backfire Risk</t>
  </si>
  <si>
    <t xml:space="preserve">Observed Effect (30 days)</t>
  </si>
  <si>
    <t xml:space="preserve">Reconstitution Status (90 days)</t>
  </si>
  <si>
    <t xml:space="preserve">Reconstitution Status (180 days)</t>
  </si>
  <si>
    <t xml:space="preserve">WAIS Score (if arrest)</t>
  </si>
  <si>
    <t xml:space="preserve">Trust Cascade Observed</t>
  </si>
  <si>
    <t xml:space="preserve">Protection Layer Effect</t>
  </si>
  <si>
    <t xml:space="preserve">Feed to Meso Metric</t>
  </si>
</sst>
</file>

<file path=xl/styles.xml><?xml version="1.0" encoding="utf-8"?>
<styleSheet xmlns="http://schemas.openxmlformats.org/spreadsheetml/2006/main">
  <numFmts count="2">
    <numFmt numFmtId="164" formatCode="General"/>
    <numFmt numFmtId="165" formatCode="0.0%"/>
  </numFmts>
  <fonts count="35">
    <font>
      <sz val="11"/>
      <color theme="1"/>
      <name val="Calibri"/>
      <family val="2"/>
      <charset val="1"/>
    </font>
    <font>
      <sz val="10"/>
      <name val="Arial"/>
      <family val="0"/>
    </font>
    <font>
      <sz val="10"/>
      <name val="Arial"/>
      <family val="0"/>
    </font>
    <font>
      <sz val="10"/>
      <name val="Arial"/>
      <family val="0"/>
    </font>
    <font>
      <b val="true"/>
      <sz val="14"/>
      <color rgb="FFFFFFFF"/>
      <name val="Arial"/>
      <family val="2"/>
      <charset val="1"/>
    </font>
    <font>
      <i val="true"/>
      <sz val="10"/>
      <color rgb="FFFFFFFF"/>
      <name val="Arial"/>
      <family val="2"/>
      <charset val="1"/>
    </font>
    <font>
      <b val="true"/>
      <sz val="11"/>
      <color rgb="FFFFFFFF"/>
      <name val="Arial"/>
      <family val="2"/>
      <charset val="1"/>
    </font>
    <font>
      <b val="true"/>
      <sz val="10"/>
      <color rgb="FFFFFFFF"/>
      <name val="Arial"/>
      <family val="2"/>
      <charset val="1"/>
    </font>
    <font>
      <sz val="10"/>
      <color rgb="FF000000"/>
      <name val="Arial"/>
      <family val="2"/>
      <charset val="1"/>
    </font>
    <font>
      <b val="true"/>
      <sz val="10"/>
      <color rgb="FF1F3864"/>
      <name val="Arial"/>
      <family val="2"/>
      <charset val="1"/>
    </font>
    <font>
      <i val="true"/>
      <sz val="9"/>
      <color rgb="FFFFFFFF"/>
      <name val="Arial"/>
      <family val="2"/>
      <charset val="1"/>
    </font>
    <font>
      <b val="true"/>
      <sz val="9"/>
      <color rgb="FFFFFFFF"/>
      <name val="Arial"/>
      <family val="2"/>
      <charset val="1"/>
    </font>
    <font>
      <b val="true"/>
      <sz val="8"/>
      <color rgb="FF000000"/>
      <name val="Arial"/>
      <family val="2"/>
      <charset val="1"/>
    </font>
    <font>
      <sz val="8"/>
      <name val="Arial"/>
      <family val="2"/>
      <charset val="1"/>
    </font>
    <font>
      <sz val="8"/>
      <color rgb="FF000000"/>
      <name val="Arial"/>
      <family val="2"/>
      <charset val="1"/>
    </font>
    <font>
      <b val="true"/>
      <sz val="8"/>
      <color rgb="FF375623"/>
      <name val="Arial"/>
      <family val="2"/>
      <charset val="1"/>
    </font>
    <font>
      <b val="true"/>
      <sz val="8"/>
      <color rgb="FFC00000"/>
      <name val="Arial"/>
      <family val="2"/>
      <charset val="1"/>
    </font>
    <font>
      <i val="true"/>
      <sz val="8"/>
      <color rgb="FFC00000"/>
      <name val="Arial"/>
      <family val="2"/>
      <charset val="1"/>
    </font>
    <font>
      <sz val="8"/>
      <color rgb="FF375623"/>
      <name val="Arial"/>
      <family val="2"/>
      <charset val="1"/>
    </font>
    <font>
      <b val="true"/>
      <sz val="8"/>
      <name val="Arial"/>
      <family val="2"/>
      <charset val="1"/>
    </font>
    <font>
      <i val="true"/>
      <sz val="9"/>
      <color rgb="FF595959"/>
      <name val="Arial"/>
      <family val="2"/>
      <charset val="1"/>
    </font>
    <font>
      <b val="true"/>
      <sz val="10"/>
      <color rgb="FF2E75B6"/>
      <name val="Arial"/>
      <family val="2"/>
      <charset val="1"/>
    </font>
    <font>
      <b val="true"/>
      <sz val="10"/>
      <color rgb="FF375623"/>
      <name val="Arial"/>
      <family val="2"/>
      <charset val="1"/>
    </font>
    <font>
      <b val="true"/>
      <sz val="9"/>
      <color rgb="FF1F3864"/>
      <name val="Arial"/>
      <family val="2"/>
      <charset val="1"/>
    </font>
    <font>
      <sz val="9"/>
      <color rgb="FF000000"/>
      <name val="Arial"/>
      <family val="2"/>
      <charset val="1"/>
    </font>
    <font>
      <b val="true"/>
      <sz val="10"/>
      <color rgb="FF595959"/>
      <name val="Arial"/>
      <family val="2"/>
      <charset val="1"/>
    </font>
    <font>
      <b val="true"/>
      <sz val="9"/>
      <color rgb="FFC55A11"/>
      <name val="Arial"/>
      <family val="2"/>
      <charset val="1"/>
    </font>
    <font>
      <b val="true"/>
      <sz val="9"/>
      <color rgb="FF375623"/>
      <name val="Arial"/>
      <family val="2"/>
      <charset val="1"/>
    </font>
    <font>
      <b val="true"/>
      <sz val="10"/>
      <color rgb="FFC55A11"/>
      <name val="Arial"/>
      <family val="2"/>
      <charset val="1"/>
    </font>
    <font>
      <b val="true"/>
      <sz val="10"/>
      <color rgb="FF843C0C"/>
      <name val="Arial"/>
      <family val="2"/>
      <charset val="1"/>
    </font>
    <font>
      <i val="true"/>
      <sz val="8"/>
      <color rgb="FF595959"/>
      <name val="Arial"/>
      <family val="2"/>
      <charset val="1"/>
    </font>
    <font>
      <sz val="9"/>
      <name val="Arial"/>
      <family val="2"/>
      <charset val="1"/>
    </font>
    <font>
      <i val="true"/>
      <sz val="9"/>
      <color rgb="FF000000"/>
      <name val="Arial"/>
      <family val="2"/>
      <charset val="1"/>
    </font>
    <font>
      <i val="true"/>
      <sz val="9"/>
      <color rgb="FFC55A11"/>
      <name val="Arial"/>
      <family val="2"/>
      <charset val="1"/>
    </font>
    <font>
      <sz val="10"/>
      <name val="Arial"/>
      <family val="2"/>
    </font>
  </fonts>
  <fills count="12">
    <fill>
      <patternFill patternType="none"/>
    </fill>
    <fill>
      <patternFill patternType="gray125"/>
    </fill>
    <fill>
      <patternFill patternType="solid">
        <fgColor rgb="FF1F3864"/>
        <bgColor rgb="FF2E4B7A"/>
      </patternFill>
    </fill>
    <fill>
      <patternFill patternType="solid">
        <fgColor rgb="FF2E75B6"/>
        <bgColor rgb="FF0066CC"/>
      </patternFill>
    </fill>
    <fill>
      <patternFill patternType="solid">
        <fgColor rgb="FF2E4B7A"/>
        <bgColor rgb="FF1F3864"/>
      </patternFill>
    </fill>
    <fill>
      <patternFill patternType="solid">
        <fgColor rgb="FFD5E8F0"/>
        <bgColor rgb="FFE2EFDA"/>
      </patternFill>
    </fill>
    <fill>
      <patternFill patternType="solid">
        <fgColor rgb="FFFFFFFF"/>
        <bgColor rgb="FFEBF3FA"/>
      </patternFill>
    </fill>
    <fill>
      <patternFill patternType="solid">
        <fgColor rgb="FFEBF3FA"/>
        <bgColor rgb="FFE2EFDA"/>
      </patternFill>
    </fill>
    <fill>
      <patternFill patternType="solid">
        <fgColor rgb="FFFFF2CC"/>
        <bgColor rgb="FFFCE4D6"/>
      </patternFill>
    </fill>
    <fill>
      <patternFill patternType="solid">
        <fgColor rgb="FFFCE4D6"/>
        <bgColor rgb="FFFFF2CC"/>
      </patternFill>
    </fill>
    <fill>
      <patternFill patternType="solid">
        <fgColor rgb="FF375623"/>
        <bgColor rgb="FF595959"/>
      </patternFill>
    </fill>
    <fill>
      <patternFill patternType="solid">
        <fgColor rgb="FFE2EFDA"/>
        <bgColor rgb="FFD5E8F0"/>
      </patternFill>
    </fill>
  </fills>
  <borders count="9">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top style="thin">
        <color rgb="FFD9D9D9"/>
      </top>
      <bottom style="thin">
        <color rgb="FFD9D9D9"/>
      </bottom>
      <diagonal/>
    </border>
    <border diagonalUp="false" diagonalDown="false">
      <left/>
      <right style="thin">
        <color rgb="FFD9D9D9"/>
      </right>
      <top style="thin">
        <color rgb="FFD9D9D9"/>
      </top>
      <bottom style="thin">
        <color rgb="FFD9D9D9"/>
      </bottom>
      <diagonal/>
    </border>
    <border diagonalUp="false" diagonalDown="false">
      <left style="medium">
        <color rgb="FF1F3864"/>
      </left>
      <right style="thin">
        <color rgb="FFD9D9D9"/>
      </right>
      <top style="thin">
        <color rgb="FFD9D9D9"/>
      </top>
      <bottom style="thin">
        <color rgb="FFD9D9D9"/>
      </bottom>
      <diagonal/>
    </border>
    <border diagonalUp="false" diagonalDown="false">
      <left style="medium">
        <color rgb="FFC55A11"/>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14" fillId="6" borderId="2" xfId="0" applyFont="true" applyBorder="true" applyAlignment="true" applyProtection="false">
      <alignment horizontal="left"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left" vertical="center" textRotation="0" wrapText="true" indent="0" shrinkToFit="false"/>
      <protection locked="true" hidden="false"/>
    </xf>
    <xf numFmtId="164" fontId="16" fillId="7"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left" vertical="center" textRotation="0" wrapText="true" indent="0" shrinkToFit="false"/>
      <protection locked="true" hidden="false"/>
    </xf>
    <xf numFmtId="164" fontId="17" fillId="7" borderId="2" xfId="0" applyFont="true" applyBorder="true" applyAlignment="true" applyProtection="false">
      <alignment horizontal="left"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6" fillId="7" borderId="2" xfId="0" applyFont="true" applyBorder="true" applyAlignment="true" applyProtection="false">
      <alignment horizontal="left" vertical="center" textRotation="0" wrapText="true" indent="0" shrinkToFit="false"/>
      <protection locked="true" hidden="false"/>
    </xf>
    <xf numFmtId="164" fontId="16" fillId="6" borderId="2"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5" fillId="7" borderId="2" xfId="0" applyFont="true" applyBorder="true" applyAlignment="true" applyProtection="false">
      <alignment horizontal="left" vertical="center"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19" fillId="8" borderId="3" xfId="0" applyFont="true" applyBorder="true" applyAlignment="true" applyProtection="false">
      <alignment horizontal="left" vertical="center" textRotation="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0" fillId="9"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21" fillId="7" borderId="1" xfId="0" applyFont="true" applyBorder="true" applyAlignment="true" applyProtection="false">
      <alignment horizontal="center" vertical="center" textRotation="0" wrapText="fals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left" vertical="center" textRotation="0" wrapText="tru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23" fillId="7" borderId="1" xfId="0" applyFont="true" applyBorder="true" applyAlignment="true" applyProtection="false">
      <alignment horizontal="left" vertical="center" textRotation="0" wrapText="true" indent="0" shrinkToFit="false"/>
      <protection locked="true" hidden="false"/>
    </xf>
    <xf numFmtId="164" fontId="24" fillId="7"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center" vertical="center"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7" fillId="6" borderId="1" xfId="0" applyFont="true" applyBorder="true" applyAlignment="true" applyProtection="false">
      <alignment horizontal="center" vertical="center" textRotation="0" wrapText="true" indent="0" shrinkToFit="false"/>
      <protection locked="true" hidden="false"/>
    </xf>
    <xf numFmtId="164" fontId="28" fillId="6"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fals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center" vertical="center" textRotation="0" wrapText="false" indent="0" shrinkToFit="false"/>
      <protection locked="true" hidden="false"/>
    </xf>
    <xf numFmtId="164" fontId="9" fillId="5" borderId="7" xfId="0" applyFont="true" applyBorder="true" applyAlignment="true" applyProtection="false">
      <alignment horizontal="left" vertical="center" textRotation="0" wrapText="true" indent="0" shrinkToFit="false"/>
      <protection locked="true" hidden="false"/>
    </xf>
    <xf numFmtId="164" fontId="29" fillId="9" borderId="1" xfId="0" applyFont="true" applyBorder="true" applyAlignment="true" applyProtection="false">
      <alignment horizontal="center" vertical="center" textRotation="0" wrapText="false" indent="0" shrinkToFit="false"/>
      <protection locked="true" hidden="false"/>
    </xf>
    <xf numFmtId="164" fontId="24" fillId="6" borderId="1" xfId="0" applyFont="true" applyBorder="tru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28" fillId="9" borderId="1" xfId="0" applyFont="true" applyBorder="true" applyAlignment="true" applyProtection="false">
      <alignment horizontal="center" vertical="center" textRotation="0" wrapText="false" indent="0" shrinkToFit="false"/>
      <protection locked="true" hidden="false"/>
    </xf>
    <xf numFmtId="164" fontId="25" fillId="7" borderId="1" xfId="0" applyFont="true" applyBorder="true" applyAlignment="true" applyProtection="false">
      <alignment horizontal="center" vertical="center" textRotation="0" wrapText="false" indent="0" shrinkToFit="false"/>
      <protection locked="true" hidden="false"/>
    </xf>
    <xf numFmtId="164" fontId="28" fillId="6" borderId="1" xfId="0" applyFont="true" applyBorder="true" applyAlignment="true" applyProtection="false">
      <alignment horizontal="center" vertical="center" textRotation="0" wrapText="false" indent="0" shrinkToFit="false"/>
      <protection locked="true" hidden="false"/>
    </xf>
    <xf numFmtId="164" fontId="30" fillId="6" borderId="1" xfId="0" applyFont="true" applyBorder="true" applyAlignment="true" applyProtection="false">
      <alignment horizontal="left" vertical="center" textRotation="0" wrapText="tru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31" fillId="9" borderId="8" xfId="0" applyFont="true" applyBorder="true" applyAlignment="true" applyProtection="false">
      <alignment horizontal="center" vertical="center" textRotation="0" wrapText="true" indent="0" shrinkToFit="false"/>
      <protection locked="true" hidden="false"/>
    </xf>
    <xf numFmtId="164" fontId="31" fillId="9" borderId="1" xfId="0" applyFont="true" applyBorder="true" applyAlignment="true" applyProtection="false">
      <alignment horizontal="center" vertical="center" textRotation="0" wrapText="true" indent="0" shrinkToFit="false"/>
      <protection locked="true" hidden="false"/>
    </xf>
    <xf numFmtId="164" fontId="32" fillId="9" borderId="1" xfId="0" applyFont="true" applyBorder="true" applyAlignment="true" applyProtection="false">
      <alignment horizontal="center" vertical="center" textRotation="0" wrapText="false" indent="0" shrinkToFit="false"/>
      <protection locked="true" hidden="false"/>
    </xf>
    <xf numFmtId="164" fontId="31" fillId="7" borderId="1" xfId="0" applyFont="true" applyBorder="true" applyAlignment="true" applyProtection="false">
      <alignment horizontal="center" vertical="center" textRotation="0" wrapText="true" indent="0" shrinkToFit="false"/>
      <protection locked="true" hidden="false"/>
    </xf>
    <xf numFmtId="164" fontId="31" fillId="6" borderId="1" xfId="0" applyFont="true" applyBorder="true" applyAlignment="true" applyProtection="false">
      <alignment horizontal="center" vertical="center" textRotation="0" wrapText="true" indent="0" shrinkToFit="false"/>
      <protection locked="true" hidden="false"/>
    </xf>
    <xf numFmtId="164" fontId="33" fillId="9" borderId="1" xfId="0" applyFont="true" applyBorder="true" applyAlignment="true" applyProtection="false">
      <alignment horizontal="left" vertical="center" textRotation="0" wrapText="false" indent="0" shrinkToFit="false"/>
      <protection locked="true" hidden="false"/>
    </xf>
    <xf numFmtId="164" fontId="24" fillId="6" borderId="1" xfId="0" applyFont="true" applyBorder="true" applyAlignment="true" applyProtection="false">
      <alignment horizontal="left" vertical="top" textRotation="0" wrapText="true" indent="0" shrinkToFit="false"/>
      <protection locked="true" hidden="false"/>
    </xf>
    <xf numFmtId="164" fontId="24" fillId="7"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5E8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BF3FA"/>
      <rgbColor rgb="FFE2EFDA"/>
      <rgbColor rgb="FFFFFF99"/>
      <rgbColor rgb="FF99CCFF"/>
      <rgbColor rgb="FFFF99CC"/>
      <rgbColor rgb="FFCC99FF"/>
      <rgbColor rgb="FFFCE4D6"/>
      <rgbColor rgb="FF2E75B6"/>
      <rgbColor rgb="FF33CCCC"/>
      <rgbColor rgb="FF99CC00"/>
      <rgbColor rgb="FFFFCC00"/>
      <rgbColor rgb="FFFF9900"/>
      <rgbColor rgb="FFC55A11"/>
      <rgbColor rgb="FF595959"/>
      <rgbColor rgb="FF969696"/>
      <rgbColor rgb="FF1F3864"/>
      <rgbColor rgb="FF339966"/>
      <rgbColor rgb="FF003300"/>
      <rgbColor rgb="FF333300"/>
      <rgbColor rgb="FF843C0C"/>
      <rgbColor rgb="FF993366"/>
      <rgbColor rgb="FF2E4B7A"/>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F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60"/>
    <col collapsed="false" customWidth="true" hidden="false" outlineLevel="0" max="5" min="4" style="0" width="20"/>
    <col collapsed="false" customWidth="true" hidden="false" outlineLevel="0" max="6" min="6" style="0" width="19.33"/>
  </cols>
  <sheetData>
    <row r="1" customFormat="false" ht="36" hidden="false" customHeight="true" outlineLevel="0" collapsed="false">
      <c r="B1" s="1" t="s">
        <v>0</v>
      </c>
      <c r="C1" s="1"/>
      <c r="D1" s="1"/>
      <c r="E1" s="1"/>
    </row>
    <row r="2" customFormat="false" ht="18" hidden="false" customHeight="true" outlineLevel="0" collapsed="false">
      <c r="B2" s="2" t="s">
        <v>1</v>
      </c>
      <c r="C2" s="2"/>
      <c r="D2" s="2"/>
      <c r="E2" s="2"/>
    </row>
    <row r="3" customFormat="false" ht="9.75" hidden="false" customHeight="true" outlineLevel="0" collapsed="false"/>
    <row r="4" customFormat="false" ht="21.75" hidden="false" customHeight="true" outlineLevel="0" collapsed="false">
      <c r="B4" s="3" t="s">
        <v>2</v>
      </c>
      <c r="C4" s="3"/>
      <c r="D4" s="3"/>
      <c r="E4" s="3"/>
    </row>
    <row r="6" customFormat="false" ht="19.5" hidden="false" customHeight="true" outlineLevel="0" collapsed="false">
      <c r="B6" s="4" t="s">
        <v>3</v>
      </c>
      <c r="C6" s="4" t="s">
        <v>4</v>
      </c>
      <c r="D6" s="4" t="s">
        <v>5</v>
      </c>
      <c r="E6" s="4" t="s">
        <v>6</v>
      </c>
      <c r="F6" s="4" t="s">
        <v>7</v>
      </c>
    </row>
    <row r="7" customFormat="false" ht="36" hidden="false" customHeight="true" outlineLevel="0" collapsed="false">
      <c r="B7" s="5" t="s">
        <v>8</v>
      </c>
      <c r="C7" s="5" t="s">
        <v>9</v>
      </c>
      <c r="D7" s="5" t="s">
        <v>10</v>
      </c>
      <c r="E7" s="5" t="s">
        <v>11</v>
      </c>
      <c r="F7" s="5" t="s">
        <v>12</v>
      </c>
    </row>
    <row r="8" customFormat="false" ht="36" hidden="false" customHeight="true" outlineLevel="0" collapsed="false">
      <c r="B8" s="6" t="s">
        <v>13</v>
      </c>
      <c r="C8" s="6" t="s">
        <v>14</v>
      </c>
      <c r="D8" s="6" t="s">
        <v>15</v>
      </c>
      <c r="E8" s="6" t="s">
        <v>16</v>
      </c>
      <c r="F8" s="6" t="s">
        <v>17</v>
      </c>
    </row>
    <row r="9" customFormat="false" ht="36" hidden="false" customHeight="true" outlineLevel="0" collapsed="false">
      <c r="B9" s="5" t="s">
        <v>18</v>
      </c>
      <c r="C9" s="5" t="s">
        <v>19</v>
      </c>
      <c r="D9" s="5" t="s">
        <v>20</v>
      </c>
      <c r="E9" s="5" t="s">
        <v>21</v>
      </c>
      <c r="F9" s="5" t="s">
        <v>22</v>
      </c>
    </row>
    <row r="10" customFormat="false" ht="36" hidden="false" customHeight="true" outlineLevel="0" collapsed="false">
      <c r="B10" s="6" t="s">
        <v>23</v>
      </c>
      <c r="C10" s="6" t="s">
        <v>24</v>
      </c>
      <c r="D10" s="6" t="s">
        <v>25</v>
      </c>
      <c r="E10" s="6" t="s">
        <v>26</v>
      </c>
      <c r="F10" s="6" t="s">
        <v>27</v>
      </c>
    </row>
    <row r="11" customFormat="false" ht="36" hidden="false" customHeight="true" outlineLevel="0" collapsed="false">
      <c r="B11" s="5" t="s">
        <v>28</v>
      </c>
      <c r="C11" s="5" t="s">
        <v>29</v>
      </c>
      <c r="D11" s="5" t="s">
        <v>30</v>
      </c>
      <c r="E11" s="5" t="s">
        <v>31</v>
      </c>
      <c r="F11" s="5" t="s">
        <v>32</v>
      </c>
    </row>
    <row r="12" customFormat="false" ht="36" hidden="false" customHeight="true" outlineLevel="0" collapsed="false">
      <c r="B12" s="6" t="s">
        <v>33</v>
      </c>
      <c r="C12" s="6" t="s">
        <v>34</v>
      </c>
      <c r="D12" s="6" t="s">
        <v>35</v>
      </c>
      <c r="E12" s="6" t="s">
        <v>36</v>
      </c>
      <c r="F12" s="6" t="s">
        <v>17</v>
      </c>
    </row>
    <row r="13" customFormat="false" ht="36" hidden="false" customHeight="true" outlineLevel="0" collapsed="false">
      <c r="B13" s="5" t="s">
        <v>37</v>
      </c>
      <c r="C13" s="5" t="s">
        <v>38</v>
      </c>
      <c r="D13" s="5" t="s">
        <v>39</v>
      </c>
      <c r="E13" s="5" t="s">
        <v>40</v>
      </c>
      <c r="F13" s="5" t="s">
        <v>41</v>
      </c>
    </row>
    <row r="15" customFormat="false" ht="9.75" hidden="false" customHeight="true" outlineLevel="0" collapsed="false"/>
    <row r="16" customFormat="false" ht="21.75" hidden="false" customHeight="true" outlineLevel="0" collapsed="false">
      <c r="B16" s="3" t="s">
        <v>42</v>
      </c>
      <c r="C16" s="3"/>
      <c r="D16" s="3"/>
      <c r="E16" s="3"/>
    </row>
    <row r="17" customFormat="false" ht="30" hidden="false" customHeight="true" outlineLevel="0" collapsed="false">
      <c r="B17" s="7" t="s">
        <v>43</v>
      </c>
      <c r="C17" s="8" t="s">
        <v>44</v>
      </c>
      <c r="D17" s="8"/>
      <c r="E17" s="8"/>
    </row>
    <row r="18" customFormat="false" ht="30" hidden="false" customHeight="true" outlineLevel="0" collapsed="false">
      <c r="B18" s="7" t="s">
        <v>45</v>
      </c>
      <c r="C18" s="8" t="s">
        <v>46</v>
      </c>
      <c r="D18" s="8"/>
      <c r="E18" s="8"/>
    </row>
    <row r="19" customFormat="false" ht="30" hidden="false" customHeight="true" outlineLevel="0" collapsed="false">
      <c r="B19" s="7" t="s">
        <v>47</v>
      </c>
      <c r="C19" s="8" t="s">
        <v>48</v>
      </c>
      <c r="D19" s="8"/>
      <c r="E19" s="8"/>
    </row>
    <row r="20" customFormat="false" ht="30" hidden="false" customHeight="true" outlineLevel="0" collapsed="false">
      <c r="B20" s="7" t="s">
        <v>49</v>
      </c>
      <c r="C20" s="8" t="s">
        <v>50</v>
      </c>
      <c r="D20" s="8"/>
      <c r="E20" s="8"/>
    </row>
    <row r="21" customFormat="false" ht="30" hidden="false" customHeight="true" outlineLevel="0" collapsed="false">
      <c r="B21" s="7" t="s">
        <v>51</v>
      </c>
      <c r="C21" s="8" t="s">
        <v>52</v>
      </c>
      <c r="D21" s="8"/>
      <c r="E21" s="8"/>
    </row>
    <row r="22" customFormat="false" ht="30" hidden="false" customHeight="true" outlineLevel="0" collapsed="false">
      <c r="B22" s="7" t="s">
        <v>53</v>
      </c>
      <c r="C22" s="8" t="s">
        <v>54</v>
      </c>
      <c r="D22" s="8"/>
      <c r="E22" s="8"/>
    </row>
    <row r="23" customFormat="false" ht="30" hidden="false" customHeight="true" outlineLevel="0" collapsed="false">
      <c r="B23" s="7" t="s">
        <v>55</v>
      </c>
      <c r="C23" s="8" t="s">
        <v>56</v>
      </c>
      <c r="D23" s="8"/>
      <c r="E23" s="8"/>
    </row>
    <row r="24" customFormat="false" ht="30" hidden="false" customHeight="true" outlineLevel="0" collapsed="false">
      <c r="B24" s="7" t="s">
        <v>57</v>
      </c>
      <c r="C24" s="8" t="s">
        <v>58</v>
      </c>
      <c r="D24" s="8"/>
      <c r="E24" s="8"/>
    </row>
  </sheetData>
  <mergeCells count="12">
    <mergeCell ref="B1:E1"/>
    <mergeCell ref="B2:E2"/>
    <mergeCell ref="B4:E4"/>
    <mergeCell ref="B16:E16"/>
    <mergeCell ref="C17:E17"/>
    <mergeCell ref="C18:E18"/>
    <mergeCell ref="C19:E19"/>
    <mergeCell ref="C20:E20"/>
    <mergeCell ref="C21:E21"/>
    <mergeCell ref="C22:E22"/>
    <mergeCell ref="C23:E23"/>
    <mergeCell ref="C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18"/>
    <col collapsed="false" customWidth="true" hidden="false" outlineLevel="0" max="5" min="5" style="0" width="12"/>
    <col collapsed="false" customWidth="true" hidden="false" outlineLevel="0" max="7" min="6" style="0" width="36"/>
    <col collapsed="false" customWidth="true" hidden="false" outlineLevel="0" max="8" min="8" style="0" width="10"/>
  </cols>
  <sheetData>
    <row r="1" customFormat="false" ht="30" hidden="false" customHeight="true" outlineLevel="0" collapsed="false">
      <c r="A1" s="9" t="s">
        <v>59</v>
      </c>
      <c r="B1" s="9"/>
      <c r="C1" s="9"/>
      <c r="D1" s="9"/>
      <c r="E1" s="9"/>
      <c r="F1" s="9"/>
      <c r="G1" s="9"/>
      <c r="H1" s="9"/>
    </row>
    <row r="2" customFormat="false" ht="24" hidden="false" customHeight="true" outlineLevel="0" collapsed="false">
      <c r="A2" s="10" t="s">
        <v>60</v>
      </c>
      <c r="B2" s="10"/>
      <c r="C2" s="10"/>
      <c r="D2" s="10"/>
      <c r="E2" s="10"/>
      <c r="F2" s="10"/>
      <c r="G2" s="10"/>
      <c r="H2" s="10"/>
    </row>
    <row r="3" customFormat="false" ht="27.75" hidden="false" customHeight="true" outlineLevel="0" collapsed="false">
      <c r="A3" s="11" t="s">
        <v>61</v>
      </c>
      <c r="B3" s="11" t="s">
        <v>62</v>
      </c>
      <c r="C3" s="11" t="s">
        <v>63</v>
      </c>
      <c r="D3" s="11" t="s">
        <v>64</v>
      </c>
      <c r="E3" s="11" t="s">
        <v>6</v>
      </c>
      <c r="F3" s="11" t="s">
        <v>65</v>
      </c>
      <c r="G3" s="11" t="s">
        <v>66</v>
      </c>
      <c r="H3" s="11" t="s">
        <v>67</v>
      </c>
    </row>
    <row r="4" customFormat="false" ht="18" hidden="false" customHeight="true" outlineLevel="0" collapsed="false">
      <c r="A4" s="12" t="s">
        <v>68</v>
      </c>
      <c r="B4" s="12"/>
      <c r="C4" s="12"/>
      <c r="D4" s="12"/>
      <c r="E4" s="12"/>
      <c r="F4" s="12"/>
      <c r="G4" s="12"/>
      <c r="H4" s="12"/>
    </row>
    <row r="5" customFormat="false" ht="79.5" hidden="false" customHeight="true" outlineLevel="0" collapsed="false">
      <c r="A5" s="13" t="s">
        <v>69</v>
      </c>
      <c r="B5" s="14" t="s">
        <v>70</v>
      </c>
      <c r="C5" s="14" t="s">
        <v>71</v>
      </c>
      <c r="D5" s="15" t="s">
        <v>72</v>
      </c>
      <c r="E5" s="16" t="s">
        <v>21</v>
      </c>
      <c r="F5" s="14" t="s">
        <v>73</v>
      </c>
      <c r="G5" s="14" t="s">
        <v>74</v>
      </c>
      <c r="H5" s="17" t="s">
        <v>75</v>
      </c>
    </row>
    <row r="6" customFormat="false" ht="79.5" hidden="false" customHeight="true" outlineLevel="0" collapsed="false">
      <c r="A6" s="18" t="s">
        <v>76</v>
      </c>
      <c r="B6" s="19" t="s">
        <v>77</v>
      </c>
      <c r="C6" s="19" t="s">
        <v>78</v>
      </c>
      <c r="D6" s="20" t="s">
        <v>79</v>
      </c>
      <c r="E6" s="21" t="s">
        <v>80</v>
      </c>
      <c r="F6" s="19" t="s">
        <v>81</v>
      </c>
      <c r="G6" s="19" t="s">
        <v>82</v>
      </c>
      <c r="H6" s="22" t="s">
        <v>83</v>
      </c>
    </row>
    <row r="7" customFormat="false" ht="79.5" hidden="false" customHeight="true" outlineLevel="0" collapsed="false">
      <c r="A7" s="18" t="s">
        <v>84</v>
      </c>
      <c r="B7" s="19" t="s">
        <v>85</v>
      </c>
      <c r="C7" s="19" t="s">
        <v>86</v>
      </c>
      <c r="D7" s="20" t="s">
        <v>87</v>
      </c>
      <c r="E7" s="21" t="s">
        <v>88</v>
      </c>
      <c r="F7" s="19" t="s">
        <v>89</v>
      </c>
      <c r="G7" s="19" t="s">
        <v>90</v>
      </c>
      <c r="H7" s="22" t="s">
        <v>83</v>
      </c>
    </row>
    <row r="8" customFormat="false" ht="18" hidden="false" customHeight="true" outlineLevel="0" collapsed="false">
      <c r="A8" s="23" t="s">
        <v>91</v>
      </c>
      <c r="B8" s="23" t="s">
        <v>92</v>
      </c>
      <c r="C8" s="23" t="s">
        <v>93</v>
      </c>
      <c r="D8" s="23" t="s">
        <v>94</v>
      </c>
      <c r="E8" s="23" t="s">
        <v>95</v>
      </c>
      <c r="F8" s="23" t="s">
        <v>96</v>
      </c>
      <c r="G8" s="23" t="s">
        <v>97</v>
      </c>
      <c r="H8" s="23" t="s">
        <v>83</v>
      </c>
    </row>
    <row r="9" customFormat="false" ht="79.5" hidden="false" customHeight="true" outlineLevel="0" collapsed="false">
      <c r="A9" s="24" t="s">
        <v>98</v>
      </c>
    </row>
    <row r="10" customFormat="false" ht="79.5" hidden="false" customHeight="true" outlineLevel="0" collapsed="false">
      <c r="A10" s="25" t="s">
        <v>99</v>
      </c>
      <c r="B10" s="19" t="s">
        <v>100</v>
      </c>
      <c r="C10" s="19" t="s">
        <v>101</v>
      </c>
      <c r="D10" s="26" t="s">
        <v>102</v>
      </c>
      <c r="E10" s="21" t="s">
        <v>103</v>
      </c>
      <c r="F10" s="19" t="s">
        <v>104</v>
      </c>
      <c r="G10" s="19" t="s">
        <v>105</v>
      </c>
      <c r="H10" s="27" t="s">
        <v>75</v>
      </c>
    </row>
    <row r="11" customFormat="false" ht="79.5" hidden="false" customHeight="true" outlineLevel="0" collapsed="false">
      <c r="A11" s="13" t="s">
        <v>106</v>
      </c>
      <c r="B11" s="14" t="s">
        <v>107</v>
      </c>
      <c r="C11" s="14" t="s">
        <v>108</v>
      </c>
      <c r="D11" s="15" t="s">
        <v>109</v>
      </c>
      <c r="E11" s="16" t="s">
        <v>21</v>
      </c>
      <c r="F11" s="14" t="s">
        <v>110</v>
      </c>
      <c r="G11" s="14" t="s">
        <v>111</v>
      </c>
      <c r="H11" s="17" t="s">
        <v>75</v>
      </c>
    </row>
    <row r="12" customFormat="false" ht="18" hidden="false" customHeight="true" outlineLevel="0" collapsed="false">
      <c r="A12" s="18" t="s">
        <v>112</v>
      </c>
      <c r="B12" s="18" t="s">
        <v>113</v>
      </c>
      <c r="C12" s="18" t="s">
        <v>114</v>
      </c>
      <c r="D12" s="18" t="s">
        <v>115</v>
      </c>
      <c r="E12" s="18" t="s">
        <v>116</v>
      </c>
      <c r="F12" s="18" t="s">
        <v>117</v>
      </c>
      <c r="G12" s="18" t="s">
        <v>118</v>
      </c>
      <c r="H12" s="18" t="s">
        <v>83</v>
      </c>
    </row>
    <row r="13" customFormat="false" ht="79.5" hidden="false" customHeight="true" outlineLevel="0" collapsed="false">
      <c r="A13" s="24" t="s">
        <v>119</v>
      </c>
    </row>
    <row r="14" customFormat="false" ht="79.5" hidden="false" customHeight="true" outlineLevel="0" collapsed="false">
      <c r="A14" s="13" t="s">
        <v>120</v>
      </c>
      <c r="B14" s="14" t="s">
        <v>121</v>
      </c>
      <c r="C14" s="14" t="s">
        <v>122</v>
      </c>
      <c r="D14" s="15" t="s">
        <v>123</v>
      </c>
      <c r="E14" s="16" t="s">
        <v>124</v>
      </c>
      <c r="F14" s="14" t="s">
        <v>125</v>
      </c>
      <c r="G14" s="14" t="s">
        <v>126</v>
      </c>
      <c r="H14" s="17" t="s">
        <v>75</v>
      </c>
    </row>
    <row r="15" customFormat="false" ht="79.5" hidden="false" customHeight="true" outlineLevel="0" collapsed="false">
      <c r="A15" s="25" t="s">
        <v>127</v>
      </c>
      <c r="B15" s="19" t="s">
        <v>128</v>
      </c>
      <c r="C15" s="19" t="s">
        <v>129</v>
      </c>
      <c r="D15" s="26" t="s">
        <v>130</v>
      </c>
      <c r="E15" s="21" t="s">
        <v>21</v>
      </c>
      <c r="F15" s="19" t="s">
        <v>131</v>
      </c>
      <c r="G15" s="19" t="s">
        <v>132</v>
      </c>
      <c r="H15" s="27" t="s">
        <v>75</v>
      </c>
    </row>
    <row r="16" customFormat="false" ht="79.5" hidden="false" customHeight="true" outlineLevel="0" collapsed="false">
      <c r="A16" s="28" t="s">
        <v>133</v>
      </c>
      <c r="B16" s="14" t="s">
        <v>134</v>
      </c>
      <c r="C16" s="14" t="s">
        <v>135</v>
      </c>
      <c r="D16" s="29" t="s">
        <v>136</v>
      </c>
      <c r="E16" s="16" t="s">
        <v>31</v>
      </c>
      <c r="F16" s="14" t="s">
        <v>137</v>
      </c>
      <c r="G16" s="14" t="s">
        <v>138</v>
      </c>
      <c r="H16" s="17" t="s">
        <v>139</v>
      </c>
    </row>
    <row r="17" customFormat="false" ht="79.5" hidden="false" customHeight="true" outlineLevel="0" collapsed="false">
      <c r="A17" s="25" t="s">
        <v>140</v>
      </c>
      <c r="B17" s="19" t="s">
        <v>141</v>
      </c>
      <c r="C17" s="19" t="s">
        <v>142</v>
      </c>
      <c r="D17" s="26" t="s">
        <v>143</v>
      </c>
      <c r="E17" s="21" t="s">
        <v>21</v>
      </c>
      <c r="F17" s="19" t="s">
        <v>144</v>
      </c>
      <c r="G17" s="19" t="s">
        <v>145</v>
      </c>
      <c r="H17" s="27" t="s">
        <v>75</v>
      </c>
    </row>
    <row r="18" customFormat="false" ht="18" hidden="false" customHeight="true" outlineLevel="0" collapsed="false">
      <c r="A18" s="13" t="s">
        <v>146</v>
      </c>
      <c r="B18" s="13" t="s">
        <v>147</v>
      </c>
      <c r="C18" s="13" t="s">
        <v>148</v>
      </c>
      <c r="D18" s="13" t="s">
        <v>149</v>
      </c>
      <c r="E18" s="13" t="s">
        <v>150</v>
      </c>
      <c r="F18" s="13" t="s">
        <v>151</v>
      </c>
      <c r="G18" s="13" t="s">
        <v>152</v>
      </c>
      <c r="H18" s="13" t="s">
        <v>153</v>
      </c>
    </row>
    <row r="19" customFormat="false" ht="79.5" hidden="false" customHeight="true" outlineLevel="0" collapsed="false">
      <c r="A19" s="24" t="s">
        <v>154</v>
      </c>
    </row>
    <row r="20" customFormat="false" ht="79.5" hidden="false" customHeight="true" outlineLevel="0" collapsed="false">
      <c r="A20" s="25" t="s">
        <v>155</v>
      </c>
      <c r="B20" s="19" t="s">
        <v>156</v>
      </c>
      <c r="C20" s="19" t="s">
        <v>157</v>
      </c>
      <c r="D20" s="26" t="s">
        <v>158</v>
      </c>
      <c r="E20" s="21" t="s">
        <v>159</v>
      </c>
      <c r="F20" s="19" t="s">
        <v>160</v>
      </c>
      <c r="G20" s="19" t="s">
        <v>161</v>
      </c>
      <c r="H20" s="30" t="s">
        <v>153</v>
      </c>
    </row>
    <row r="21" customFormat="false" ht="79.5" hidden="false" customHeight="true" outlineLevel="0" collapsed="false">
      <c r="A21" s="13" t="s">
        <v>162</v>
      </c>
      <c r="B21" s="14" t="s">
        <v>163</v>
      </c>
      <c r="C21" s="14" t="s">
        <v>164</v>
      </c>
      <c r="D21" s="15" t="s">
        <v>165</v>
      </c>
      <c r="E21" s="16" t="s">
        <v>21</v>
      </c>
      <c r="F21" s="14" t="s">
        <v>166</v>
      </c>
      <c r="G21" s="14" t="s">
        <v>167</v>
      </c>
      <c r="H21" s="17" t="s">
        <v>75</v>
      </c>
    </row>
    <row r="22" customFormat="false" ht="79.5" hidden="false" customHeight="true" outlineLevel="0" collapsed="false">
      <c r="A22" s="18" t="s">
        <v>168</v>
      </c>
      <c r="B22" s="19" t="s">
        <v>169</v>
      </c>
      <c r="C22" s="19" t="s">
        <v>170</v>
      </c>
      <c r="D22" s="20" t="s">
        <v>171</v>
      </c>
      <c r="E22" s="21" t="s">
        <v>172</v>
      </c>
      <c r="F22" s="19" t="s">
        <v>173</v>
      </c>
      <c r="G22" s="19" t="s">
        <v>174</v>
      </c>
      <c r="H22" s="27" t="s">
        <v>75</v>
      </c>
    </row>
    <row r="23" customFormat="false" ht="79.5" hidden="false" customHeight="true" outlineLevel="0" collapsed="false">
      <c r="A23" s="13" t="s">
        <v>175</v>
      </c>
      <c r="B23" s="14" t="s">
        <v>176</v>
      </c>
      <c r="C23" s="14" t="s">
        <v>177</v>
      </c>
      <c r="D23" s="15" t="s">
        <v>178</v>
      </c>
      <c r="E23" s="16" t="s">
        <v>179</v>
      </c>
      <c r="F23" s="14" t="s">
        <v>180</v>
      </c>
      <c r="G23" s="14" t="s">
        <v>181</v>
      </c>
      <c r="H23" s="17" t="s">
        <v>75</v>
      </c>
    </row>
    <row r="24" customFormat="false" ht="79.5" hidden="false" customHeight="true" outlineLevel="0" collapsed="false">
      <c r="A24" s="25" t="s">
        <v>182</v>
      </c>
      <c r="B24" s="19" t="s">
        <v>183</v>
      </c>
      <c r="C24" s="19" t="s">
        <v>184</v>
      </c>
      <c r="D24" s="26" t="s">
        <v>185</v>
      </c>
      <c r="E24" s="21" t="s">
        <v>21</v>
      </c>
      <c r="F24" s="19" t="s">
        <v>186</v>
      </c>
      <c r="G24" s="19" t="s">
        <v>187</v>
      </c>
      <c r="H24" s="27" t="s">
        <v>75</v>
      </c>
    </row>
    <row r="25" customFormat="false" ht="79.5" hidden="false" customHeight="true" outlineLevel="0" collapsed="false">
      <c r="A25" s="13" t="s">
        <v>188</v>
      </c>
      <c r="B25" s="14" t="s">
        <v>189</v>
      </c>
      <c r="C25" s="14" t="s">
        <v>190</v>
      </c>
      <c r="D25" s="15" t="s">
        <v>191</v>
      </c>
      <c r="E25" s="16" t="s">
        <v>21</v>
      </c>
      <c r="F25" s="14" t="s">
        <v>192</v>
      </c>
      <c r="G25" s="14" t="s">
        <v>193</v>
      </c>
      <c r="H25" s="17" t="s">
        <v>75</v>
      </c>
    </row>
    <row r="26" customFormat="false" ht="79.5" hidden="false" customHeight="true" outlineLevel="0" collapsed="false">
      <c r="A26" s="18" t="s">
        <v>194</v>
      </c>
      <c r="B26" s="19" t="s">
        <v>195</v>
      </c>
      <c r="C26" s="19" t="s">
        <v>196</v>
      </c>
      <c r="D26" s="20" t="s">
        <v>197</v>
      </c>
      <c r="E26" s="21" t="s">
        <v>198</v>
      </c>
      <c r="F26" s="19" t="s">
        <v>199</v>
      </c>
      <c r="G26" s="19" t="s">
        <v>200</v>
      </c>
      <c r="H26" s="22" t="s">
        <v>83</v>
      </c>
    </row>
    <row r="27" customFormat="false" ht="18" hidden="false" customHeight="true" outlineLevel="0" collapsed="false">
      <c r="A27" s="13" t="s">
        <v>201</v>
      </c>
      <c r="B27" s="13" t="s">
        <v>202</v>
      </c>
      <c r="C27" s="13" t="s">
        <v>203</v>
      </c>
      <c r="D27" s="13" t="s">
        <v>204</v>
      </c>
      <c r="E27" s="13" t="s">
        <v>21</v>
      </c>
      <c r="F27" s="13" t="s">
        <v>205</v>
      </c>
      <c r="G27" s="13" t="s">
        <v>206</v>
      </c>
      <c r="H27" s="13" t="s">
        <v>153</v>
      </c>
    </row>
    <row r="28" customFormat="false" ht="79.5" hidden="false" customHeight="true" outlineLevel="0" collapsed="false">
      <c r="A28" s="24" t="s">
        <v>207</v>
      </c>
    </row>
    <row r="29" customFormat="false" ht="55.2" hidden="false" customHeight="false" outlineLevel="0" collapsed="false">
      <c r="A29" s="18" t="s">
        <v>208</v>
      </c>
      <c r="B29" s="19" t="s">
        <v>209</v>
      </c>
      <c r="C29" s="19" t="s">
        <v>210</v>
      </c>
      <c r="D29" s="20" t="s">
        <v>211</v>
      </c>
      <c r="E29" s="21" t="s">
        <v>212</v>
      </c>
      <c r="F29" s="19" t="s">
        <v>213</v>
      </c>
      <c r="G29" s="19" t="s">
        <v>214</v>
      </c>
      <c r="H29" s="22" t="s">
        <v>83</v>
      </c>
    </row>
    <row r="30" customFormat="false" ht="18" hidden="false" customHeight="true" outlineLevel="0" collapsed="false">
      <c r="A30" s="31"/>
      <c r="B30" s="31"/>
      <c r="C30" s="31"/>
      <c r="D30" s="31"/>
      <c r="E30" s="31"/>
      <c r="F30" s="31"/>
      <c r="G30" s="31"/>
      <c r="H30" s="31"/>
    </row>
    <row r="31" customFormat="false" ht="27.75" hidden="false" customHeight="true" outlineLevel="0" collapsed="false">
      <c r="A31" s="32" t="s">
        <v>215</v>
      </c>
      <c r="B31" s="32"/>
      <c r="C31" s="31"/>
      <c r="D31" s="31"/>
      <c r="E31" s="31"/>
      <c r="F31" s="31"/>
      <c r="G31" s="31"/>
      <c r="H31" s="31"/>
    </row>
    <row r="32" customFormat="false" ht="27.75" hidden="false" customHeight="true" outlineLevel="0" collapsed="false">
      <c r="A32" s="33" t="s">
        <v>216</v>
      </c>
      <c r="B32" s="33"/>
      <c r="C32" s="34" t="s">
        <v>217</v>
      </c>
      <c r="D32" s="34"/>
      <c r="E32" s="34"/>
      <c r="F32" s="34"/>
      <c r="G32" s="34"/>
      <c r="H32" s="34"/>
    </row>
    <row r="33" customFormat="false" ht="27.75" hidden="false" customHeight="true" outlineLevel="0" collapsed="false">
      <c r="A33" s="33" t="s">
        <v>218</v>
      </c>
      <c r="B33" s="33"/>
      <c r="C33" s="34" t="s">
        <v>219</v>
      </c>
      <c r="D33" s="34"/>
      <c r="E33" s="34"/>
      <c r="F33" s="34"/>
      <c r="G33" s="34"/>
      <c r="H33" s="34"/>
    </row>
    <row r="34" customFormat="false" ht="27.75" hidden="false" customHeight="true" outlineLevel="0" collapsed="false">
      <c r="A34" s="33" t="s">
        <v>220</v>
      </c>
      <c r="B34" s="33"/>
      <c r="C34" s="34" t="s">
        <v>221</v>
      </c>
      <c r="D34" s="34"/>
      <c r="E34" s="34"/>
      <c r="F34" s="34"/>
      <c r="G34" s="34"/>
      <c r="H34" s="34"/>
    </row>
    <row r="35" customFormat="false" ht="27.75" hidden="false" customHeight="true" outlineLevel="0" collapsed="false">
      <c r="A35" s="33" t="s">
        <v>222</v>
      </c>
      <c r="B35" s="33"/>
      <c r="C35" s="34" t="s">
        <v>223</v>
      </c>
      <c r="D35" s="34"/>
      <c r="E35" s="34"/>
      <c r="F35" s="34"/>
      <c r="G35" s="34"/>
      <c r="H35" s="34"/>
    </row>
    <row r="36" customFormat="false" ht="73.1" hidden="false" customHeight="false" outlineLevel="0" collapsed="false">
      <c r="A36" s="33" t="s">
        <v>224</v>
      </c>
      <c r="B36" s="35"/>
      <c r="C36" s="34" t="s">
        <v>225</v>
      </c>
      <c r="D36" s="35"/>
      <c r="E36" s="35"/>
      <c r="F36" s="35"/>
      <c r="G36" s="35"/>
      <c r="H36" s="35"/>
    </row>
  </sheetData>
  <mergeCells count="18">
    <mergeCell ref="A1:H1"/>
    <mergeCell ref="A2:H2"/>
    <mergeCell ref="A4:H4"/>
    <mergeCell ref="A8:H8"/>
    <mergeCell ref="A12:H12"/>
    <mergeCell ref="A18:H18"/>
    <mergeCell ref="A27:H27"/>
    <mergeCell ref="A30:H30"/>
    <mergeCell ref="A31:B31"/>
    <mergeCell ref="C31:H31"/>
    <mergeCell ref="A32:B32"/>
    <mergeCell ref="C32:H32"/>
    <mergeCell ref="A33:B33"/>
    <mergeCell ref="C33:H33"/>
    <mergeCell ref="A34:B34"/>
    <mergeCell ref="C34:H34"/>
    <mergeCell ref="A35:B35"/>
    <mergeCell ref="C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7" min="2" style="0" width="18"/>
    <col collapsed="false" customWidth="true" hidden="false" outlineLevel="0" max="9" min="8" style="0" width="14"/>
    <col collapsed="false" customWidth="true" hidden="false" outlineLevel="0" max="11" min="10" style="0" width="18"/>
  </cols>
  <sheetData>
    <row r="1" customFormat="false" ht="36" hidden="false" customHeight="true" outlineLevel="0" collapsed="false">
      <c r="A1" s="1" t="s">
        <v>226</v>
      </c>
      <c r="B1" s="1"/>
      <c r="C1" s="1"/>
      <c r="D1" s="1"/>
      <c r="E1" s="1"/>
      <c r="F1" s="1"/>
      <c r="G1" s="1"/>
      <c r="H1" s="1"/>
      <c r="I1" s="1"/>
      <c r="J1" s="1"/>
      <c r="K1" s="1"/>
    </row>
    <row r="2" customFormat="false" ht="18" hidden="false" customHeight="true" outlineLevel="0" collapsed="false">
      <c r="A2" s="2" t="s">
        <v>227</v>
      </c>
      <c r="B2" s="2"/>
      <c r="C2" s="2"/>
      <c r="D2" s="2"/>
      <c r="E2" s="2"/>
      <c r="F2" s="2"/>
      <c r="G2" s="2"/>
      <c r="H2" s="2"/>
      <c r="I2" s="2"/>
      <c r="J2" s="2"/>
      <c r="K2" s="2"/>
    </row>
    <row r="3" customFormat="false" ht="30" hidden="false" customHeight="true" outlineLevel="0" collapsed="false">
      <c r="A3" s="36" t="s">
        <v>228</v>
      </c>
      <c r="B3" s="36"/>
      <c r="C3" s="36"/>
      <c r="D3" s="36"/>
      <c r="E3" s="36"/>
      <c r="F3" s="36"/>
      <c r="G3" s="36"/>
      <c r="H3" s="36"/>
      <c r="I3" s="36"/>
      <c r="J3" s="36"/>
      <c r="K3" s="36"/>
    </row>
    <row r="4" customFormat="false" ht="7.5" hidden="false" customHeight="true" outlineLevel="0" collapsed="false"/>
    <row r="5" customFormat="false" ht="39.75" hidden="false" customHeight="true" outlineLevel="0" collapsed="false">
      <c r="A5" s="37" t="s">
        <v>229</v>
      </c>
      <c r="B5" s="37" t="s">
        <v>230</v>
      </c>
      <c r="C5" s="37" t="s">
        <v>231</v>
      </c>
      <c r="D5" s="37" t="s">
        <v>232</v>
      </c>
      <c r="E5" s="37" t="s">
        <v>233</v>
      </c>
      <c r="F5" s="37" t="s">
        <v>234</v>
      </c>
      <c r="G5" s="37" t="s">
        <v>235</v>
      </c>
      <c r="H5" s="37" t="s">
        <v>236</v>
      </c>
      <c r="I5" s="37" t="s">
        <v>237</v>
      </c>
      <c r="J5" s="37" t="s">
        <v>238</v>
      </c>
      <c r="K5" s="37" t="s">
        <v>239</v>
      </c>
    </row>
    <row r="6" customFormat="false" ht="15" hidden="false" customHeight="true" outlineLevel="0" collapsed="false">
      <c r="A6" s="38"/>
      <c r="B6" s="38"/>
      <c r="C6" s="38"/>
      <c r="D6" s="38"/>
      <c r="E6" s="38"/>
      <c r="F6" s="38"/>
      <c r="G6" s="38"/>
      <c r="H6" s="39" t="str">
        <f aca="false">IFERROR(IF(AND(D6&lt;&gt;"",E6&lt;&gt;"PENDING",E6&lt;&gt;"",F6&lt;&gt;"",G6&lt;&gt;""),VALUE(D6)+VALUE(E6)+VALUE(F6)+VALUE(G6),IF(AND(D6&lt;&gt;"",F6&lt;&gt;"",G6&lt;&gt;""),"("&amp;VALUE(D6)+VALUE(F6)+VALUE(G6)&amp;"+PENDING)","")),"CHECK")</f>
        <v/>
      </c>
      <c r="I6" s="38"/>
      <c r="J6" s="40" t="str">
        <f aca="false">IFERROR(IF(I6="Yes",H6+2,H6),"--")</f>
        <v/>
      </c>
      <c r="K6" s="41" t="str">
        <f aca="false">IFERROR(IF(ISNUMBER(J6),IF(J6&gt;=10,"HIGH ECOSYSTEM IMPACT",IF(J6&gt;=7,"MODERATE IMPACT","LIMITED IMPACT")),"PENDING"),"--")</f>
        <v>PENDING</v>
      </c>
    </row>
    <row r="7" customFormat="false" ht="15" hidden="false" customHeight="true" outlineLevel="0" collapsed="false">
      <c r="A7" s="42"/>
      <c r="B7" s="42"/>
      <c r="C7" s="42"/>
      <c r="D7" s="42"/>
      <c r="E7" s="42"/>
      <c r="F7" s="42"/>
      <c r="G7" s="42"/>
      <c r="H7" s="43" t="str">
        <f aca="false">IFERROR(IF(AND(D7&lt;&gt;"",E7&lt;&gt;"PENDING",E7&lt;&gt;"",F7&lt;&gt;"",G7&lt;&gt;""),VALUE(D7)+VALUE(E7)+VALUE(F7)+VALUE(G7),IF(AND(D7&lt;&gt;"",F7&lt;&gt;"",G7&lt;&gt;""),"("&amp;VALUE(D7)+VALUE(F7)+VALUE(G7)&amp;"+PENDING)","")),"CHECK")</f>
        <v/>
      </c>
      <c r="I7" s="42"/>
      <c r="J7" s="7" t="str">
        <f aca="false">IFERROR(IF(I7="Yes",H7+2,H7),"--")</f>
        <v/>
      </c>
      <c r="K7" s="44" t="str">
        <f aca="false">IFERROR(IF(ISNUMBER(J7),IF(J7&gt;=10,"HIGH ECOSYSTEM IMPACT",IF(J7&gt;=7,"MODERATE IMPACT","LIMITED IMPACT")),"PENDING"),"--")</f>
        <v>PENDING</v>
      </c>
    </row>
    <row r="8" customFormat="false" ht="15" hidden="false" customHeight="true" outlineLevel="0" collapsed="false">
      <c r="A8" s="38"/>
      <c r="B8" s="38"/>
      <c r="C8" s="38"/>
      <c r="D8" s="38"/>
      <c r="E8" s="38"/>
      <c r="F8" s="38"/>
      <c r="G8" s="38"/>
      <c r="H8" s="39" t="str">
        <f aca="false">IFERROR(IF(AND(D8&lt;&gt;"",E8&lt;&gt;"PENDING",E8&lt;&gt;"",F8&lt;&gt;"",G8&lt;&gt;""),VALUE(D8)+VALUE(E8)+VALUE(F8)+VALUE(G8),IF(AND(D8&lt;&gt;"",F8&lt;&gt;"",G8&lt;&gt;""),"("&amp;VALUE(D8)+VALUE(F8)+VALUE(G8)&amp;"+PENDING)","")),"CHECK")</f>
        <v/>
      </c>
      <c r="I8" s="38"/>
      <c r="J8" s="40" t="str">
        <f aca="false">IFERROR(IF(I8="Yes",H8+2,H8),"--")</f>
        <v/>
      </c>
      <c r="K8" s="41" t="str">
        <f aca="false">IFERROR(IF(ISNUMBER(J8),IF(J8&gt;=10,"HIGH ECOSYSTEM IMPACT",IF(J8&gt;=7,"MODERATE IMPACT","LIMITED IMPACT")),"PENDING"),"--")</f>
        <v>PENDING</v>
      </c>
    </row>
    <row r="9" customFormat="false" ht="15" hidden="false" customHeight="true" outlineLevel="0" collapsed="false">
      <c r="A9" s="42"/>
      <c r="B9" s="42"/>
      <c r="C9" s="42"/>
      <c r="D9" s="42"/>
      <c r="E9" s="42"/>
      <c r="F9" s="42"/>
      <c r="G9" s="42"/>
      <c r="H9" s="43" t="str">
        <f aca="false">IFERROR(IF(AND(D9&lt;&gt;"",E9&lt;&gt;"PENDING",E9&lt;&gt;"",F9&lt;&gt;"",G9&lt;&gt;""),VALUE(D9)+VALUE(E9)+VALUE(F9)+VALUE(G9),IF(AND(D9&lt;&gt;"",F9&lt;&gt;"",G9&lt;&gt;""),"("&amp;VALUE(D9)+VALUE(F9)+VALUE(G9)&amp;"+PENDING)","")),"CHECK")</f>
        <v/>
      </c>
      <c r="I9" s="42"/>
      <c r="J9" s="7" t="str">
        <f aca="false">IFERROR(IF(I9="Yes",H9+2,H9),"--")</f>
        <v/>
      </c>
      <c r="K9" s="44" t="str">
        <f aca="false">IFERROR(IF(ISNUMBER(J9),IF(J9&gt;=10,"HIGH ECOSYSTEM IMPACT",IF(J9&gt;=7,"MODERATE IMPACT","LIMITED IMPACT")),"PENDING"),"--")</f>
        <v>PENDING</v>
      </c>
    </row>
    <row r="10" customFormat="false" ht="15" hidden="false" customHeight="true" outlineLevel="0" collapsed="false">
      <c r="A10" s="38"/>
      <c r="B10" s="38"/>
      <c r="C10" s="38"/>
      <c r="D10" s="38"/>
      <c r="E10" s="38"/>
      <c r="F10" s="38"/>
      <c r="G10" s="38"/>
      <c r="H10" s="39" t="str">
        <f aca="false">IFERROR(IF(AND(D10&lt;&gt;"",E10&lt;&gt;"PENDING",E10&lt;&gt;"",F10&lt;&gt;"",G10&lt;&gt;""),VALUE(D10)+VALUE(E10)+VALUE(F10)+VALUE(G10),IF(AND(D10&lt;&gt;"",F10&lt;&gt;"",G10&lt;&gt;""),"("&amp;VALUE(D10)+VALUE(F10)+VALUE(G10)&amp;"+PENDING)","")),"CHECK")</f>
        <v/>
      </c>
      <c r="I10" s="38"/>
      <c r="J10" s="40" t="str">
        <f aca="false">IFERROR(IF(I10="Yes",H10+2,H10),"--")</f>
        <v/>
      </c>
      <c r="K10" s="41" t="str">
        <f aca="false">IFERROR(IF(ISNUMBER(J10),IF(J10&gt;=10,"HIGH ECOSYSTEM IMPACT",IF(J10&gt;=7,"MODERATE IMPACT","LIMITED IMPACT")),"PENDING"),"--")</f>
        <v>PENDING</v>
      </c>
    </row>
    <row r="11" customFormat="false" ht="15" hidden="false" customHeight="true" outlineLevel="0" collapsed="false">
      <c r="A11" s="42"/>
      <c r="B11" s="42"/>
      <c r="C11" s="42"/>
      <c r="D11" s="42"/>
      <c r="E11" s="42"/>
      <c r="F11" s="42"/>
      <c r="G11" s="42"/>
      <c r="H11" s="43" t="str">
        <f aca="false">IFERROR(IF(AND(D11&lt;&gt;"",E11&lt;&gt;"PENDING",E11&lt;&gt;"",F11&lt;&gt;"",G11&lt;&gt;""),VALUE(D11)+VALUE(E11)+VALUE(F11)+VALUE(G11),IF(AND(D11&lt;&gt;"",F11&lt;&gt;"",G11&lt;&gt;""),"("&amp;VALUE(D11)+VALUE(F11)+VALUE(G11)&amp;"+PENDING)","")),"CHECK")</f>
        <v/>
      </c>
      <c r="I11" s="42"/>
      <c r="J11" s="7" t="str">
        <f aca="false">IFERROR(IF(I11="Yes",H11+2,H11),"--")</f>
        <v/>
      </c>
      <c r="K11" s="44" t="str">
        <f aca="false">IFERROR(IF(ISNUMBER(J11),IF(J11&gt;=10,"HIGH ECOSYSTEM IMPACT",IF(J11&gt;=7,"MODERATE IMPACT","LIMITED IMPACT")),"PENDING"),"--")</f>
        <v>PENDING</v>
      </c>
    </row>
    <row r="12" customFormat="false" ht="15" hidden="false" customHeight="true" outlineLevel="0" collapsed="false">
      <c r="A12" s="38"/>
      <c r="B12" s="38"/>
      <c r="C12" s="38"/>
      <c r="D12" s="38"/>
      <c r="E12" s="38"/>
      <c r="F12" s="38"/>
      <c r="G12" s="38"/>
      <c r="H12" s="39" t="str">
        <f aca="false">IFERROR(IF(AND(D12&lt;&gt;"",E12&lt;&gt;"PENDING",E12&lt;&gt;"",F12&lt;&gt;"",G12&lt;&gt;""),VALUE(D12)+VALUE(E12)+VALUE(F12)+VALUE(G12),IF(AND(D12&lt;&gt;"",F12&lt;&gt;"",G12&lt;&gt;""),"("&amp;VALUE(D12)+VALUE(F12)+VALUE(G12)&amp;"+PENDING)","")),"CHECK")</f>
        <v/>
      </c>
      <c r="I12" s="38"/>
      <c r="J12" s="40" t="str">
        <f aca="false">IFERROR(IF(I12="Yes",H12+2,H12),"--")</f>
        <v/>
      </c>
      <c r="K12" s="41" t="str">
        <f aca="false">IFERROR(IF(ISNUMBER(J12),IF(J12&gt;=10,"HIGH ECOSYSTEM IMPACT",IF(J12&gt;=7,"MODERATE IMPACT","LIMITED IMPACT")),"PENDING"),"--")</f>
        <v>PENDING</v>
      </c>
    </row>
    <row r="13" customFormat="false" ht="15" hidden="false" customHeight="true" outlineLevel="0" collapsed="false">
      <c r="A13" s="42"/>
      <c r="B13" s="42"/>
      <c r="C13" s="42"/>
      <c r="D13" s="42"/>
      <c r="E13" s="42"/>
      <c r="F13" s="42"/>
      <c r="G13" s="42"/>
      <c r="H13" s="43" t="str">
        <f aca="false">IFERROR(IF(AND(D13&lt;&gt;"",E13&lt;&gt;"PENDING",E13&lt;&gt;"",F13&lt;&gt;"",G13&lt;&gt;""),VALUE(D13)+VALUE(E13)+VALUE(F13)+VALUE(G13),IF(AND(D13&lt;&gt;"",F13&lt;&gt;"",G13&lt;&gt;""),"("&amp;VALUE(D13)+VALUE(F13)+VALUE(G13)&amp;"+PENDING)","")),"CHECK")</f>
        <v/>
      </c>
      <c r="I13" s="42"/>
      <c r="J13" s="7" t="str">
        <f aca="false">IFERROR(IF(I13="Yes",H13+2,H13),"--")</f>
        <v/>
      </c>
      <c r="K13" s="44" t="str">
        <f aca="false">IFERROR(IF(ISNUMBER(J13),IF(J13&gt;=10,"HIGH ECOSYSTEM IMPACT",IF(J13&gt;=7,"MODERATE IMPACT","LIMITED IMPACT")),"PENDING"),"--")</f>
        <v>PENDING</v>
      </c>
    </row>
    <row r="14" customFormat="false" ht="15" hidden="false" customHeight="true" outlineLevel="0" collapsed="false">
      <c r="A14" s="38"/>
      <c r="B14" s="38"/>
      <c r="C14" s="38"/>
      <c r="D14" s="38"/>
      <c r="E14" s="38"/>
      <c r="F14" s="38"/>
      <c r="G14" s="38"/>
      <c r="H14" s="39" t="str">
        <f aca="false">IFERROR(IF(AND(D14&lt;&gt;"",E14&lt;&gt;"PENDING",E14&lt;&gt;"",F14&lt;&gt;"",G14&lt;&gt;""),VALUE(D14)+VALUE(E14)+VALUE(F14)+VALUE(G14),IF(AND(D14&lt;&gt;"",F14&lt;&gt;"",G14&lt;&gt;""),"("&amp;VALUE(D14)+VALUE(F14)+VALUE(G14)&amp;"+PENDING)","")),"CHECK")</f>
        <v/>
      </c>
      <c r="I14" s="38"/>
      <c r="J14" s="40" t="str">
        <f aca="false">IFERROR(IF(I14="Yes",H14+2,H14),"--")</f>
        <v/>
      </c>
      <c r="K14" s="41" t="str">
        <f aca="false">IFERROR(IF(ISNUMBER(J14),IF(J14&gt;=10,"HIGH ECOSYSTEM IMPACT",IF(J14&gt;=7,"MODERATE IMPACT","LIMITED IMPACT")),"PENDING"),"--")</f>
        <v>PENDING</v>
      </c>
    </row>
    <row r="15" customFormat="false" ht="15" hidden="false" customHeight="true" outlineLevel="0" collapsed="false">
      <c r="A15" s="42"/>
      <c r="B15" s="42"/>
      <c r="C15" s="42"/>
      <c r="D15" s="42"/>
      <c r="E15" s="42"/>
      <c r="F15" s="42"/>
      <c r="G15" s="42"/>
      <c r="H15" s="43" t="str">
        <f aca="false">IFERROR(IF(AND(D15&lt;&gt;"",E15&lt;&gt;"PENDING",E15&lt;&gt;"",F15&lt;&gt;"",G15&lt;&gt;""),VALUE(D15)+VALUE(E15)+VALUE(F15)+VALUE(G15),IF(AND(D15&lt;&gt;"",F15&lt;&gt;"",G15&lt;&gt;""),"("&amp;VALUE(D15)+VALUE(F15)+VALUE(G15)&amp;"+PENDING)","")),"CHECK")</f>
        <v/>
      </c>
      <c r="I15" s="42"/>
      <c r="J15" s="7" t="str">
        <f aca="false">IFERROR(IF(I15="Yes",H15+2,H15),"--")</f>
        <v/>
      </c>
      <c r="K15" s="44" t="str">
        <f aca="false">IFERROR(IF(ISNUMBER(J15),IF(J15&gt;=10,"HIGH ECOSYSTEM IMPACT",IF(J15&gt;=7,"MODERATE IMPACT","LIMITED IMPACT")),"PENDING"),"--")</f>
        <v>PENDING</v>
      </c>
    </row>
    <row r="16" customFormat="false" ht="15" hidden="false" customHeight="true" outlineLevel="0" collapsed="false">
      <c r="A16" s="38"/>
      <c r="B16" s="38"/>
      <c r="C16" s="38"/>
      <c r="D16" s="38"/>
      <c r="E16" s="38"/>
      <c r="F16" s="38"/>
      <c r="G16" s="38"/>
      <c r="H16" s="39" t="str">
        <f aca="false">IFERROR(IF(AND(D16&lt;&gt;"",E16&lt;&gt;"PENDING",E16&lt;&gt;"",F16&lt;&gt;"",G16&lt;&gt;""),VALUE(D16)+VALUE(E16)+VALUE(F16)+VALUE(G16),IF(AND(D16&lt;&gt;"",F16&lt;&gt;"",G16&lt;&gt;""),"("&amp;VALUE(D16)+VALUE(F16)+VALUE(G16)&amp;"+PENDING)","")),"CHECK")</f>
        <v/>
      </c>
      <c r="I16" s="38"/>
      <c r="J16" s="40" t="str">
        <f aca="false">IFERROR(IF(I16="Yes",H16+2,H16),"--")</f>
        <v/>
      </c>
      <c r="K16" s="41" t="str">
        <f aca="false">IFERROR(IF(ISNUMBER(J16),IF(J16&gt;=10,"HIGH ECOSYSTEM IMPACT",IF(J16&gt;=7,"MODERATE IMPACT","LIMITED IMPACT")),"PENDING"),"--")</f>
        <v>PENDING</v>
      </c>
    </row>
    <row r="17" customFormat="false" ht="15" hidden="false" customHeight="true" outlineLevel="0" collapsed="false">
      <c r="A17" s="42"/>
      <c r="B17" s="42"/>
      <c r="C17" s="42"/>
      <c r="D17" s="42"/>
      <c r="E17" s="42"/>
      <c r="F17" s="42"/>
      <c r="G17" s="42"/>
      <c r="H17" s="43" t="str">
        <f aca="false">IFERROR(IF(AND(D17&lt;&gt;"",E17&lt;&gt;"PENDING",E17&lt;&gt;"",F17&lt;&gt;"",G17&lt;&gt;""),VALUE(D17)+VALUE(E17)+VALUE(F17)+VALUE(G17),IF(AND(D17&lt;&gt;"",F17&lt;&gt;"",G17&lt;&gt;""),"("&amp;VALUE(D17)+VALUE(F17)+VALUE(G17)&amp;"+PENDING)","")),"CHECK")</f>
        <v/>
      </c>
      <c r="I17" s="42"/>
      <c r="J17" s="7" t="str">
        <f aca="false">IFERROR(IF(I17="Yes",H17+2,H17),"--")</f>
        <v/>
      </c>
      <c r="K17" s="44" t="str">
        <f aca="false">IFERROR(IF(ISNUMBER(J17),IF(J17&gt;=10,"HIGH ECOSYSTEM IMPACT",IF(J17&gt;=7,"MODERATE IMPACT","LIMITED IMPACT")),"PENDING"),"--")</f>
        <v>PENDING</v>
      </c>
    </row>
    <row r="18" customFormat="false" ht="15" hidden="false" customHeight="true" outlineLevel="0" collapsed="false">
      <c r="A18" s="38"/>
      <c r="B18" s="38"/>
      <c r="C18" s="38"/>
      <c r="D18" s="38"/>
      <c r="E18" s="38"/>
      <c r="F18" s="38"/>
      <c r="G18" s="38"/>
      <c r="H18" s="39" t="str">
        <f aca="false">IFERROR(IF(AND(D18&lt;&gt;"",E18&lt;&gt;"PENDING",E18&lt;&gt;"",F18&lt;&gt;"",G18&lt;&gt;""),VALUE(D18)+VALUE(E18)+VALUE(F18)+VALUE(G18),IF(AND(D18&lt;&gt;"",F18&lt;&gt;"",G18&lt;&gt;""),"("&amp;VALUE(D18)+VALUE(F18)+VALUE(G18)&amp;"+PENDING)","")),"CHECK")</f>
        <v/>
      </c>
      <c r="I18" s="38"/>
      <c r="J18" s="40" t="str">
        <f aca="false">IFERROR(IF(I18="Yes",H18+2,H18),"--")</f>
        <v/>
      </c>
      <c r="K18" s="41" t="str">
        <f aca="false">IFERROR(IF(ISNUMBER(J18),IF(J18&gt;=10,"HIGH ECOSYSTEM IMPACT",IF(J18&gt;=7,"MODERATE IMPACT","LIMITED IMPACT")),"PENDING"),"--")</f>
        <v>PENDING</v>
      </c>
    </row>
    <row r="19" customFormat="false" ht="15" hidden="false" customHeight="true" outlineLevel="0" collapsed="false">
      <c r="A19" s="42"/>
      <c r="B19" s="42"/>
      <c r="C19" s="42"/>
      <c r="D19" s="42"/>
      <c r="E19" s="42"/>
      <c r="F19" s="42"/>
      <c r="G19" s="42"/>
      <c r="H19" s="43" t="str">
        <f aca="false">IFERROR(IF(AND(D19&lt;&gt;"",E19&lt;&gt;"PENDING",E19&lt;&gt;"",F19&lt;&gt;"",G19&lt;&gt;""),VALUE(D19)+VALUE(E19)+VALUE(F19)+VALUE(G19),IF(AND(D19&lt;&gt;"",F19&lt;&gt;"",G19&lt;&gt;""),"("&amp;VALUE(D19)+VALUE(F19)+VALUE(G19)&amp;"+PENDING)","")),"CHECK")</f>
        <v/>
      </c>
      <c r="I19" s="42"/>
      <c r="J19" s="7" t="str">
        <f aca="false">IFERROR(IF(I19="Yes",H19+2,H19),"--")</f>
        <v/>
      </c>
      <c r="K19" s="44" t="str">
        <f aca="false">IFERROR(IF(ISNUMBER(J19),IF(J19&gt;=10,"HIGH ECOSYSTEM IMPACT",IF(J19&gt;=7,"MODERATE IMPACT","LIMITED IMPACT")),"PENDING"),"--")</f>
        <v>PENDING</v>
      </c>
    </row>
    <row r="20" customFormat="false" ht="15" hidden="false" customHeight="true" outlineLevel="0" collapsed="false">
      <c r="A20" s="38"/>
      <c r="B20" s="38"/>
      <c r="C20" s="38"/>
      <c r="D20" s="38"/>
      <c r="E20" s="38"/>
      <c r="F20" s="38"/>
      <c r="G20" s="38"/>
      <c r="H20" s="39" t="str">
        <f aca="false">IFERROR(IF(AND(D20&lt;&gt;"",E20&lt;&gt;"PENDING",E20&lt;&gt;"",F20&lt;&gt;"",G20&lt;&gt;""),VALUE(D20)+VALUE(E20)+VALUE(F20)+VALUE(G20),IF(AND(D20&lt;&gt;"",F20&lt;&gt;"",G20&lt;&gt;""),"("&amp;VALUE(D20)+VALUE(F20)+VALUE(G20)&amp;"+PENDING)","")),"CHECK")</f>
        <v/>
      </c>
      <c r="I20" s="38"/>
      <c r="J20" s="40" t="str">
        <f aca="false">IFERROR(IF(I20="Yes",H20+2,H20),"--")</f>
        <v/>
      </c>
      <c r="K20" s="41" t="str">
        <f aca="false">IFERROR(IF(ISNUMBER(J20),IF(J20&gt;=10,"HIGH ECOSYSTEM IMPACT",IF(J20&gt;=7,"MODERATE IMPACT","LIMITED IMPACT")),"PENDING"),"--")</f>
        <v>PENDING</v>
      </c>
    </row>
    <row r="21" customFormat="false" ht="15" hidden="false" customHeight="true" outlineLevel="0" collapsed="false">
      <c r="A21" s="42"/>
      <c r="B21" s="42"/>
      <c r="C21" s="42"/>
      <c r="D21" s="42"/>
      <c r="E21" s="42"/>
      <c r="F21" s="42"/>
      <c r="G21" s="42"/>
      <c r="H21" s="43" t="str">
        <f aca="false">IFERROR(IF(AND(D21&lt;&gt;"",E21&lt;&gt;"PENDING",E21&lt;&gt;"",F21&lt;&gt;"",G21&lt;&gt;""),VALUE(D21)+VALUE(E21)+VALUE(F21)+VALUE(G21),IF(AND(D21&lt;&gt;"",F21&lt;&gt;"",G21&lt;&gt;""),"("&amp;VALUE(D21)+VALUE(F21)+VALUE(G21)&amp;"+PENDING)","")),"CHECK")</f>
        <v/>
      </c>
      <c r="I21" s="42"/>
      <c r="J21" s="7" t="str">
        <f aca="false">IFERROR(IF(I21="Yes",H21+2,H21),"--")</f>
        <v/>
      </c>
      <c r="K21" s="44" t="str">
        <f aca="false">IFERROR(IF(ISNUMBER(J21),IF(J21&gt;=10,"HIGH ECOSYSTEM IMPACT",IF(J21&gt;=7,"MODERATE IMPACT","LIMITED IMPACT")),"PENDING"),"--")</f>
        <v>PENDING</v>
      </c>
    </row>
    <row r="22" customFormat="false" ht="15" hidden="false" customHeight="true" outlineLevel="0" collapsed="false">
      <c r="A22" s="38"/>
      <c r="B22" s="38"/>
      <c r="C22" s="38"/>
      <c r="D22" s="38"/>
      <c r="E22" s="38"/>
      <c r="F22" s="38"/>
      <c r="G22" s="38"/>
      <c r="H22" s="39" t="str">
        <f aca="false">IFERROR(IF(AND(D22&lt;&gt;"",E22&lt;&gt;"PENDING",E22&lt;&gt;"",F22&lt;&gt;"",G22&lt;&gt;""),VALUE(D22)+VALUE(E22)+VALUE(F22)+VALUE(G22),IF(AND(D22&lt;&gt;"",F22&lt;&gt;"",G22&lt;&gt;""),"("&amp;VALUE(D22)+VALUE(F22)+VALUE(G22)&amp;"+PENDING)","")),"CHECK")</f>
        <v/>
      </c>
      <c r="I22" s="38"/>
      <c r="J22" s="40" t="str">
        <f aca="false">IFERROR(IF(I22="Yes",H22+2,H22),"--")</f>
        <v/>
      </c>
      <c r="K22" s="41" t="str">
        <f aca="false">IFERROR(IF(ISNUMBER(J22),IF(J22&gt;=10,"HIGH ECOSYSTEM IMPACT",IF(J22&gt;=7,"MODERATE IMPACT","LIMITED IMPACT")),"PENDING"),"--")</f>
        <v>PENDING</v>
      </c>
    </row>
    <row r="23" customFormat="false" ht="15" hidden="false" customHeight="true" outlineLevel="0" collapsed="false">
      <c r="A23" s="42"/>
      <c r="B23" s="42"/>
      <c r="C23" s="42"/>
      <c r="D23" s="42"/>
      <c r="E23" s="42"/>
      <c r="F23" s="42"/>
      <c r="G23" s="42"/>
      <c r="H23" s="43" t="str">
        <f aca="false">IFERROR(IF(AND(D23&lt;&gt;"",E23&lt;&gt;"PENDING",E23&lt;&gt;"",F23&lt;&gt;"",G23&lt;&gt;""),VALUE(D23)+VALUE(E23)+VALUE(F23)+VALUE(G23),IF(AND(D23&lt;&gt;"",F23&lt;&gt;"",G23&lt;&gt;""),"("&amp;VALUE(D23)+VALUE(F23)+VALUE(G23)&amp;"+PENDING)","")),"CHECK")</f>
        <v/>
      </c>
      <c r="I23" s="42"/>
      <c r="J23" s="7" t="str">
        <f aca="false">IFERROR(IF(I23="Yes",H23+2,H23),"--")</f>
        <v/>
      </c>
      <c r="K23" s="44" t="str">
        <f aca="false">IFERROR(IF(ISNUMBER(J23),IF(J23&gt;=10,"HIGH ECOSYSTEM IMPACT",IF(J23&gt;=7,"MODERATE IMPACT","LIMITED IMPACT")),"PENDING"),"--")</f>
        <v>PENDING</v>
      </c>
    </row>
    <row r="24" customFormat="false" ht="15" hidden="false" customHeight="true" outlineLevel="0" collapsed="false">
      <c r="A24" s="38"/>
      <c r="B24" s="38"/>
      <c r="C24" s="38"/>
      <c r="D24" s="38"/>
      <c r="E24" s="38"/>
      <c r="F24" s="38"/>
      <c r="G24" s="38"/>
      <c r="H24" s="39" t="str">
        <f aca="false">IFERROR(IF(AND(D24&lt;&gt;"",E24&lt;&gt;"PENDING",E24&lt;&gt;"",F24&lt;&gt;"",G24&lt;&gt;""),VALUE(D24)+VALUE(E24)+VALUE(F24)+VALUE(G24),IF(AND(D24&lt;&gt;"",F24&lt;&gt;"",G24&lt;&gt;""),"("&amp;VALUE(D24)+VALUE(F24)+VALUE(G24)&amp;"+PENDING)","")),"CHECK")</f>
        <v/>
      </c>
      <c r="I24" s="38"/>
      <c r="J24" s="40" t="str">
        <f aca="false">IFERROR(IF(I24="Yes",H24+2,H24),"--")</f>
        <v/>
      </c>
      <c r="K24" s="41" t="str">
        <f aca="false">IFERROR(IF(ISNUMBER(J24),IF(J24&gt;=10,"HIGH ECOSYSTEM IMPACT",IF(J24&gt;=7,"MODERATE IMPACT","LIMITED IMPACT")),"PENDING"),"--")</f>
        <v>PENDING</v>
      </c>
    </row>
    <row r="25" customFormat="false" ht="15" hidden="false" customHeight="true" outlineLevel="0" collapsed="false">
      <c r="A25" s="42"/>
      <c r="B25" s="42"/>
      <c r="C25" s="42"/>
      <c r="D25" s="42"/>
      <c r="E25" s="42"/>
      <c r="F25" s="42"/>
      <c r="G25" s="42"/>
      <c r="H25" s="43" t="str">
        <f aca="false">IFERROR(IF(AND(D25&lt;&gt;"",E25&lt;&gt;"PENDING",E25&lt;&gt;"",F25&lt;&gt;"",G25&lt;&gt;""),VALUE(D25)+VALUE(E25)+VALUE(F25)+VALUE(G25),IF(AND(D25&lt;&gt;"",F25&lt;&gt;"",G25&lt;&gt;""),"("&amp;VALUE(D25)+VALUE(F25)+VALUE(G25)&amp;"+PENDING)","")),"CHECK")</f>
        <v/>
      </c>
      <c r="I25" s="42"/>
      <c r="J25" s="7" t="str">
        <f aca="false">IFERROR(IF(I25="Yes",H25+2,H25),"--")</f>
        <v/>
      </c>
      <c r="K25" s="44" t="str">
        <f aca="false">IFERROR(IF(ISNUMBER(J25),IF(J25&gt;=10,"HIGH ECOSYSTEM IMPACT",IF(J25&gt;=7,"MODERATE IMPACT","LIMITED IMPACT")),"PENDING"),"--")</f>
        <v>PENDING</v>
      </c>
    </row>
    <row r="26" customFormat="false" ht="15" hidden="false" customHeight="true" outlineLevel="0" collapsed="false">
      <c r="A26" s="38"/>
      <c r="B26" s="38"/>
      <c r="C26" s="38"/>
      <c r="D26" s="38"/>
      <c r="E26" s="38"/>
      <c r="F26" s="38"/>
      <c r="G26" s="38"/>
      <c r="H26" s="39" t="str">
        <f aca="false">IFERROR(IF(AND(D26&lt;&gt;"",E26&lt;&gt;"PENDING",E26&lt;&gt;"",F26&lt;&gt;"",G26&lt;&gt;""),VALUE(D26)+VALUE(E26)+VALUE(F26)+VALUE(G26),IF(AND(D26&lt;&gt;"",F26&lt;&gt;"",G26&lt;&gt;""),"("&amp;VALUE(D26)+VALUE(F26)+VALUE(G26)&amp;"+PENDING)","")),"CHECK")</f>
        <v/>
      </c>
      <c r="I26" s="38"/>
      <c r="J26" s="40" t="str">
        <f aca="false">IFERROR(IF(I26="Yes",H26+2,H26),"--")</f>
        <v/>
      </c>
      <c r="K26" s="41" t="str">
        <f aca="false">IFERROR(IF(ISNUMBER(J26),IF(J26&gt;=10,"HIGH ECOSYSTEM IMPACT",IF(J26&gt;=7,"MODERATE IMPACT","LIMITED IMPACT")),"PENDING"),"--")</f>
        <v>PENDING</v>
      </c>
    </row>
    <row r="27" customFormat="false" ht="15" hidden="false" customHeight="true" outlineLevel="0" collapsed="false">
      <c r="A27" s="42"/>
      <c r="B27" s="42"/>
      <c r="C27" s="42"/>
      <c r="D27" s="42"/>
      <c r="E27" s="42"/>
      <c r="F27" s="42"/>
      <c r="G27" s="42"/>
      <c r="H27" s="43" t="str">
        <f aca="false">IFERROR(IF(AND(D27&lt;&gt;"",E27&lt;&gt;"PENDING",E27&lt;&gt;"",F27&lt;&gt;"",G27&lt;&gt;""),VALUE(D27)+VALUE(E27)+VALUE(F27)+VALUE(G27),IF(AND(D27&lt;&gt;"",F27&lt;&gt;"",G27&lt;&gt;""),"("&amp;VALUE(D27)+VALUE(F27)+VALUE(G27)&amp;"+PENDING)","")),"CHECK")</f>
        <v/>
      </c>
      <c r="I27" s="42"/>
      <c r="J27" s="7" t="str">
        <f aca="false">IFERROR(IF(I27="Yes",H27+2,H27),"--")</f>
        <v/>
      </c>
      <c r="K27" s="44" t="str">
        <f aca="false">IFERROR(IF(ISNUMBER(J27),IF(J27&gt;=10,"HIGH ECOSYSTEM IMPACT",IF(J27&gt;=7,"MODERATE IMPACT","LIMITED IMPACT")),"PENDING"),"--")</f>
        <v>PENDING</v>
      </c>
    </row>
    <row r="28" customFormat="false" ht="15" hidden="false" customHeight="true" outlineLevel="0" collapsed="false">
      <c r="A28" s="38"/>
      <c r="B28" s="38"/>
      <c r="C28" s="38"/>
      <c r="D28" s="38"/>
      <c r="E28" s="38"/>
      <c r="F28" s="38"/>
      <c r="G28" s="38"/>
      <c r="H28" s="39" t="str">
        <f aca="false">IFERROR(IF(AND(D28&lt;&gt;"",E28&lt;&gt;"PENDING",E28&lt;&gt;"",F28&lt;&gt;"",G28&lt;&gt;""),VALUE(D28)+VALUE(E28)+VALUE(F28)+VALUE(G28),IF(AND(D28&lt;&gt;"",F28&lt;&gt;"",G28&lt;&gt;""),"("&amp;VALUE(D28)+VALUE(F28)+VALUE(G28)&amp;"+PENDING)","")),"CHECK")</f>
        <v/>
      </c>
      <c r="I28" s="38"/>
      <c r="J28" s="40" t="str">
        <f aca="false">IFERROR(IF(I28="Yes",H28+2,H28),"--")</f>
        <v/>
      </c>
      <c r="K28" s="41" t="str">
        <f aca="false">IFERROR(IF(ISNUMBER(J28),IF(J28&gt;=10,"HIGH ECOSYSTEM IMPACT",IF(J28&gt;=7,"MODERATE IMPACT","LIMITED IMPACT")),"PENDING"),"--")</f>
        <v>PENDING</v>
      </c>
    </row>
    <row r="29" customFormat="false" ht="15" hidden="false" customHeight="true" outlineLevel="0" collapsed="false">
      <c r="A29" s="42"/>
      <c r="B29" s="42"/>
      <c r="C29" s="42"/>
      <c r="D29" s="42"/>
      <c r="E29" s="42"/>
      <c r="F29" s="42"/>
      <c r="G29" s="42"/>
      <c r="H29" s="43" t="str">
        <f aca="false">IFERROR(IF(AND(D29&lt;&gt;"",E29&lt;&gt;"PENDING",E29&lt;&gt;"",F29&lt;&gt;"",G29&lt;&gt;""),VALUE(D29)+VALUE(E29)+VALUE(F29)+VALUE(G29),IF(AND(D29&lt;&gt;"",F29&lt;&gt;"",G29&lt;&gt;""),"("&amp;VALUE(D29)+VALUE(F29)+VALUE(G29)&amp;"+PENDING)","")),"CHECK")</f>
        <v/>
      </c>
      <c r="I29" s="42"/>
      <c r="J29" s="7" t="str">
        <f aca="false">IFERROR(IF(I29="Yes",H29+2,H29),"--")</f>
        <v/>
      </c>
      <c r="K29" s="44" t="str">
        <f aca="false">IFERROR(IF(ISNUMBER(J29),IF(J29&gt;=10,"HIGH ECOSYSTEM IMPACT",IF(J29&gt;=7,"MODERATE IMPACT","LIMITED IMPACT")),"PENDING"),"--")</f>
        <v>PENDING</v>
      </c>
    </row>
    <row r="30" customFormat="false" ht="15" hidden="false" customHeight="true" outlineLevel="0" collapsed="false">
      <c r="A30" s="38"/>
      <c r="B30" s="38"/>
      <c r="C30" s="38"/>
      <c r="D30" s="38"/>
      <c r="E30" s="38"/>
      <c r="F30" s="38"/>
      <c r="G30" s="38"/>
      <c r="H30" s="39" t="str">
        <f aca="false">IFERROR(IF(AND(D30&lt;&gt;"",E30&lt;&gt;"PENDING",E30&lt;&gt;"",F30&lt;&gt;"",G30&lt;&gt;""),VALUE(D30)+VALUE(E30)+VALUE(F30)+VALUE(G30),IF(AND(D30&lt;&gt;"",F30&lt;&gt;"",G30&lt;&gt;""),"("&amp;VALUE(D30)+VALUE(F30)+VALUE(G30)&amp;"+PENDING)","")),"CHECK")</f>
        <v/>
      </c>
      <c r="I30" s="38"/>
      <c r="J30" s="40" t="str">
        <f aca="false">IFERROR(IF(I30="Yes",H30+2,H30),"--")</f>
        <v/>
      </c>
      <c r="K30" s="41" t="str">
        <f aca="false">IFERROR(IF(ISNUMBER(J30),IF(J30&gt;=10,"HIGH ECOSYSTEM IMPACT",IF(J30&gt;=7,"MODERATE IMPACT","LIMITED IMPACT")),"PENDING"),"--")</f>
        <v>PENDING</v>
      </c>
    </row>
    <row r="32" customFormat="false" ht="12" hidden="false" customHeight="true" outlineLevel="0" collapsed="false"/>
    <row r="33" customFormat="false" ht="21.75" hidden="false" customHeight="true" outlineLevel="0" collapsed="false">
      <c r="A33" s="3" t="s">
        <v>240</v>
      </c>
      <c r="B33" s="3"/>
      <c r="C33" s="3"/>
      <c r="D33" s="3"/>
      <c r="E33" s="3"/>
      <c r="F33" s="3"/>
      <c r="G33" s="3"/>
      <c r="H33" s="3"/>
      <c r="I33" s="3"/>
      <c r="J33" s="3"/>
      <c r="K33" s="3"/>
    </row>
    <row r="34" customFormat="false" ht="19.5" hidden="false" customHeight="true" outlineLevel="0" collapsed="false">
      <c r="A34" s="37" t="s">
        <v>241</v>
      </c>
      <c r="B34" s="37" t="s">
        <v>242</v>
      </c>
      <c r="C34" s="37" t="s">
        <v>243</v>
      </c>
      <c r="D34" s="37" t="s">
        <v>244</v>
      </c>
    </row>
    <row r="35" customFormat="false" ht="42" hidden="false" customHeight="true" outlineLevel="0" collapsed="false">
      <c r="A35" s="45" t="s">
        <v>245</v>
      </c>
      <c r="B35" s="46" t="s">
        <v>246</v>
      </c>
      <c r="C35" s="46" t="s">
        <v>247</v>
      </c>
      <c r="D35" s="46" t="s">
        <v>248</v>
      </c>
    </row>
    <row r="36" customFormat="false" ht="42" hidden="false" customHeight="true" outlineLevel="0" collapsed="false">
      <c r="A36" s="47" t="s">
        <v>249</v>
      </c>
      <c r="B36" s="48" t="s">
        <v>250</v>
      </c>
      <c r="C36" s="48" t="s">
        <v>251</v>
      </c>
      <c r="D36" s="48" t="s">
        <v>252</v>
      </c>
    </row>
    <row r="37" customFormat="false" ht="42" hidden="false" customHeight="true" outlineLevel="0" collapsed="false">
      <c r="A37" s="45" t="s">
        <v>253</v>
      </c>
      <c r="B37" s="46" t="s">
        <v>254</v>
      </c>
      <c r="C37" s="46" t="s">
        <v>255</v>
      </c>
      <c r="D37" s="46" t="s">
        <v>256</v>
      </c>
    </row>
    <row r="38" customFormat="false" ht="42" hidden="false" customHeight="true" outlineLevel="0" collapsed="false">
      <c r="A38" s="47" t="s">
        <v>257</v>
      </c>
      <c r="B38" s="48" t="s">
        <v>258</v>
      </c>
      <c r="C38" s="48" t="s">
        <v>259</v>
      </c>
      <c r="D38" s="48" t="s">
        <v>260</v>
      </c>
    </row>
  </sheetData>
  <mergeCells count="4">
    <mergeCell ref="A1:K1"/>
    <mergeCell ref="A2:K2"/>
    <mergeCell ref="A3:K3"/>
    <mergeCell ref="A33:K33"/>
  </mergeCells>
  <dataValidations count="3">
    <dataValidation allowBlank="true" errorStyle="stop" operator="between" showDropDown="false" showErrorMessage="false" showInputMessage="false" sqref="D6:D30 F6:G30" type="list">
      <formula1>"1,2,3"</formula1>
      <formula2>0</formula2>
    </dataValidation>
    <dataValidation allowBlank="true" errorStyle="stop" operator="between" showDropDown="false" showErrorMessage="false" showInputMessage="false" sqref="E6:E30" type="list">
      <formula1>"1,2,3,PENDING"</formula1>
      <formula2>0</formula2>
    </dataValidation>
    <dataValidation allowBlank="true" errorStyle="stop" operator="between" showDropDown="false" showErrorMessage="false" showInputMessage="false" sqref="I6:I3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4B7A"/>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3" min="3" style="0" width="28"/>
    <col collapsed="false" customWidth="true" hidden="false" outlineLevel="0" max="7" min="4" style="0" width="14"/>
    <col collapsed="false" customWidth="true" hidden="false" outlineLevel="0" max="8" min="8" style="0" width="16"/>
    <col collapsed="false" customWidth="true" hidden="false" outlineLevel="0" max="10" min="9" style="0" width="20"/>
  </cols>
  <sheetData>
    <row r="1" customFormat="false" ht="36" hidden="false" customHeight="true" outlineLevel="0" collapsed="false">
      <c r="A1" s="1" t="s">
        <v>261</v>
      </c>
      <c r="B1" s="1"/>
      <c r="C1" s="1"/>
      <c r="D1" s="1"/>
      <c r="E1" s="1"/>
      <c r="F1" s="1"/>
      <c r="G1" s="1"/>
      <c r="H1" s="1"/>
      <c r="I1" s="1"/>
      <c r="J1" s="1"/>
    </row>
    <row r="2" customFormat="false" ht="18" hidden="false" customHeight="true" outlineLevel="0" collapsed="false">
      <c r="A2" s="2" t="s">
        <v>262</v>
      </c>
      <c r="B2" s="2"/>
      <c r="C2" s="2"/>
      <c r="D2" s="2"/>
      <c r="E2" s="2"/>
      <c r="F2" s="2"/>
      <c r="G2" s="2"/>
      <c r="H2" s="2"/>
      <c r="I2" s="2"/>
      <c r="J2" s="2"/>
    </row>
    <row r="4" customFormat="false" ht="9.75" hidden="false" customHeight="true" outlineLevel="0" collapsed="false"/>
    <row r="5" customFormat="false" ht="21.75" hidden="false" customHeight="true" outlineLevel="0" collapsed="false">
      <c r="A5" s="3" t="s">
        <v>263</v>
      </c>
      <c r="B5" s="3"/>
      <c r="C5" s="3"/>
      <c r="D5" s="3"/>
      <c r="E5" s="3"/>
      <c r="F5" s="3"/>
      <c r="G5" s="3"/>
      <c r="H5" s="3"/>
      <c r="I5" s="3"/>
      <c r="J5" s="3"/>
    </row>
    <row r="6" customFormat="false" ht="27.75" hidden="false" customHeight="true" outlineLevel="0" collapsed="false">
      <c r="A6" s="37" t="s">
        <v>61</v>
      </c>
      <c r="B6" s="37" t="s">
        <v>62</v>
      </c>
      <c r="C6" s="37" t="s">
        <v>264</v>
      </c>
      <c r="D6" s="37" t="s">
        <v>265</v>
      </c>
      <c r="E6" s="37" t="s">
        <v>266</v>
      </c>
      <c r="F6" s="37" t="s">
        <v>267</v>
      </c>
      <c r="G6" s="37" t="s">
        <v>268</v>
      </c>
      <c r="H6" s="37" t="s">
        <v>269</v>
      </c>
      <c r="I6" s="37" t="s">
        <v>270</v>
      </c>
      <c r="J6" s="37" t="s">
        <v>271</v>
      </c>
    </row>
    <row r="7" customFormat="false" ht="21.75" hidden="false" customHeight="true" outlineLevel="0" collapsed="false">
      <c r="A7" s="49" t="s">
        <v>272</v>
      </c>
      <c r="B7" s="49"/>
      <c r="C7" s="49"/>
      <c r="D7" s="49"/>
      <c r="E7" s="49"/>
      <c r="F7" s="49"/>
      <c r="G7" s="49"/>
      <c r="H7" s="49"/>
      <c r="I7" s="49"/>
      <c r="J7" s="49"/>
    </row>
    <row r="8" customFormat="false" ht="36" hidden="false" customHeight="true" outlineLevel="0" collapsed="false">
      <c r="A8" s="50" t="s">
        <v>69</v>
      </c>
      <c r="B8" s="5" t="s">
        <v>70</v>
      </c>
      <c r="C8" s="51" t="s">
        <v>273</v>
      </c>
      <c r="D8" s="38"/>
      <c r="E8" s="38"/>
      <c r="F8" s="38"/>
      <c r="G8" s="6" t="s">
        <v>274</v>
      </c>
      <c r="H8" s="52" t="s">
        <v>275</v>
      </c>
      <c r="I8" s="53" t="s">
        <v>276</v>
      </c>
      <c r="J8" s="54" t="s">
        <v>277</v>
      </c>
    </row>
    <row r="9" customFormat="false" ht="36" hidden="false" customHeight="true" outlineLevel="0" collapsed="false">
      <c r="A9" s="50" t="s">
        <v>76</v>
      </c>
      <c r="B9" s="5" t="s">
        <v>77</v>
      </c>
      <c r="C9" s="51" t="s">
        <v>273</v>
      </c>
      <c r="D9" s="38"/>
      <c r="E9" s="38"/>
      <c r="F9" s="38"/>
      <c r="G9" s="6" t="s">
        <v>278</v>
      </c>
      <c r="H9" s="52" t="s">
        <v>279</v>
      </c>
      <c r="I9" s="53" t="s">
        <v>280</v>
      </c>
      <c r="J9" s="54" t="s">
        <v>281</v>
      </c>
    </row>
    <row r="10" customFormat="false" ht="36" hidden="false" customHeight="true" outlineLevel="0" collapsed="false">
      <c r="A10" s="50" t="s">
        <v>84</v>
      </c>
      <c r="B10" s="5" t="s">
        <v>282</v>
      </c>
      <c r="C10" s="51" t="s">
        <v>283</v>
      </c>
      <c r="D10" s="38"/>
      <c r="E10" s="38"/>
      <c r="F10" s="38"/>
      <c r="G10" s="6"/>
      <c r="H10" s="52"/>
      <c r="I10" s="53" t="s">
        <v>284</v>
      </c>
      <c r="J10" s="54" t="s">
        <v>285</v>
      </c>
    </row>
    <row r="11" customFormat="false" ht="36" hidden="false" customHeight="true" outlineLevel="0" collapsed="false">
      <c r="A11" s="50" t="s">
        <v>91</v>
      </c>
      <c r="B11" s="5" t="s">
        <v>286</v>
      </c>
      <c r="C11" s="51" t="s">
        <v>273</v>
      </c>
      <c r="D11" s="38"/>
      <c r="E11" s="38"/>
      <c r="F11" s="38"/>
      <c r="G11" s="6" t="s">
        <v>278</v>
      </c>
      <c r="H11" s="52" t="s">
        <v>279</v>
      </c>
      <c r="I11" s="53" t="s">
        <v>287</v>
      </c>
      <c r="J11" s="54" t="s">
        <v>281</v>
      </c>
    </row>
    <row r="12" customFormat="false" ht="36" hidden="false" customHeight="true" outlineLevel="0" collapsed="false">
      <c r="A12" s="50" t="s">
        <v>288</v>
      </c>
      <c r="B12" s="5" t="s">
        <v>289</v>
      </c>
      <c r="C12" s="51" t="s">
        <v>273</v>
      </c>
      <c r="D12" s="38"/>
      <c r="E12" s="38"/>
      <c r="F12" s="38"/>
      <c r="G12" s="6" t="s">
        <v>278</v>
      </c>
      <c r="H12" s="52" t="s">
        <v>279</v>
      </c>
      <c r="I12" s="53" t="s">
        <v>290</v>
      </c>
      <c r="J12" s="54" t="s">
        <v>281</v>
      </c>
    </row>
    <row r="13" customFormat="false" ht="21.75" hidden="false" customHeight="true" outlineLevel="0" collapsed="false">
      <c r="A13" s="50" t="s">
        <v>291</v>
      </c>
      <c r="B13" s="50" t="s">
        <v>292</v>
      </c>
      <c r="C13" s="50" t="s">
        <v>273</v>
      </c>
      <c r="D13" s="50"/>
      <c r="E13" s="50"/>
      <c r="F13" s="50"/>
      <c r="G13" s="50" t="s">
        <v>278</v>
      </c>
      <c r="H13" s="50" t="s">
        <v>279</v>
      </c>
      <c r="I13" s="50" t="s">
        <v>290</v>
      </c>
      <c r="J13" s="50" t="s">
        <v>281</v>
      </c>
    </row>
    <row r="14" customFormat="false" ht="36" hidden="false" customHeight="true" outlineLevel="0" collapsed="false">
      <c r="A14" s="3" t="s">
        <v>293</v>
      </c>
      <c r="B14" s="55"/>
      <c r="C14" s="55"/>
      <c r="D14" s="55"/>
      <c r="E14" s="55"/>
      <c r="F14" s="55"/>
      <c r="G14" s="55"/>
      <c r="H14" s="55"/>
      <c r="I14" s="55"/>
      <c r="J14" s="56"/>
    </row>
    <row r="15" customFormat="false" ht="36" hidden="false" customHeight="true" outlineLevel="0" collapsed="false">
      <c r="A15" s="50" t="s">
        <v>99</v>
      </c>
      <c r="B15" s="8" t="s">
        <v>294</v>
      </c>
      <c r="C15" s="44" t="s">
        <v>295</v>
      </c>
      <c r="D15" s="38"/>
      <c r="E15" s="38"/>
      <c r="F15" s="38"/>
      <c r="G15" s="6" t="s">
        <v>296</v>
      </c>
      <c r="H15" s="57" t="s">
        <v>297</v>
      </c>
      <c r="I15" s="53" t="s">
        <v>298</v>
      </c>
      <c r="J15" s="54" t="s">
        <v>277</v>
      </c>
    </row>
    <row r="16" customFormat="false" ht="36" hidden="false" customHeight="true" outlineLevel="0" collapsed="false">
      <c r="A16" s="50" t="s">
        <v>299</v>
      </c>
      <c r="B16" s="8" t="s">
        <v>300</v>
      </c>
      <c r="C16" s="44" t="s">
        <v>295</v>
      </c>
      <c r="D16" s="38"/>
      <c r="E16" s="38"/>
      <c r="F16" s="38"/>
      <c r="G16" s="6" t="s">
        <v>301</v>
      </c>
      <c r="H16" s="52" t="s">
        <v>275</v>
      </c>
      <c r="I16" s="53" t="s">
        <v>302</v>
      </c>
      <c r="J16" s="54" t="s">
        <v>277</v>
      </c>
    </row>
    <row r="17" customFormat="false" ht="36" hidden="false" customHeight="true" outlineLevel="0" collapsed="false">
      <c r="A17" s="50" t="s">
        <v>106</v>
      </c>
      <c r="B17" s="8" t="s">
        <v>303</v>
      </c>
      <c r="C17" s="43" t="s">
        <v>273</v>
      </c>
      <c r="D17" s="38"/>
      <c r="E17" s="38"/>
      <c r="F17" s="38"/>
      <c r="G17" s="6" t="s">
        <v>304</v>
      </c>
      <c r="H17" s="57" t="s">
        <v>297</v>
      </c>
      <c r="I17" s="53" t="s">
        <v>305</v>
      </c>
      <c r="J17" s="58" t="s">
        <v>306</v>
      </c>
    </row>
    <row r="18" customFormat="false" ht="36" hidden="false" customHeight="true" outlineLevel="0" collapsed="false">
      <c r="A18" s="50" t="s">
        <v>112</v>
      </c>
      <c r="B18" s="8" t="s">
        <v>307</v>
      </c>
      <c r="C18" s="43" t="s">
        <v>273</v>
      </c>
      <c r="D18" s="38"/>
      <c r="E18" s="38"/>
      <c r="F18" s="38"/>
      <c r="G18" s="6" t="s">
        <v>308</v>
      </c>
      <c r="H18" s="59" t="s">
        <v>309</v>
      </c>
      <c r="I18" s="53" t="s">
        <v>310</v>
      </c>
      <c r="J18" s="58" t="s">
        <v>306</v>
      </c>
    </row>
    <row r="19" customFormat="false" ht="21.75" hidden="false" customHeight="true" outlineLevel="0" collapsed="false">
      <c r="A19" s="50" t="s">
        <v>311</v>
      </c>
      <c r="B19" s="50" t="s">
        <v>312</v>
      </c>
      <c r="C19" s="50" t="s">
        <v>313</v>
      </c>
      <c r="D19" s="50"/>
      <c r="E19" s="50"/>
      <c r="F19" s="50"/>
      <c r="G19" s="50" t="s">
        <v>314</v>
      </c>
      <c r="H19" s="50" t="s">
        <v>309</v>
      </c>
      <c r="I19" s="50" t="s">
        <v>315</v>
      </c>
      <c r="J19" s="50" t="s">
        <v>306</v>
      </c>
    </row>
    <row r="20" customFormat="false" ht="36" hidden="false" customHeight="true" outlineLevel="0" collapsed="false">
      <c r="A20" s="60" t="s">
        <v>316</v>
      </c>
      <c r="B20" s="55"/>
      <c r="C20" s="55"/>
      <c r="D20" s="55"/>
      <c r="E20" s="55"/>
      <c r="F20" s="55"/>
      <c r="G20" s="55"/>
      <c r="H20" s="55"/>
      <c r="I20" s="55"/>
      <c r="J20" s="56"/>
    </row>
    <row r="21" customFormat="false" ht="36" hidden="false" customHeight="true" outlineLevel="0" collapsed="false">
      <c r="A21" s="50" t="s">
        <v>120</v>
      </c>
      <c r="B21" s="61" t="s">
        <v>317</v>
      </c>
      <c r="C21" s="62" t="s">
        <v>273</v>
      </c>
      <c r="D21" s="38"/>
      <c r="E21" s="38"/>
      <c r="F21" s="38"/>
      <c r="G21" s="6" t="s">
        <v>318</v>
      </c>
      <c r="H21" s="57" t="s">
        <v>297</v>
      </c>
      <c r="I21" s="53" t="s">
        <v>319</v>
      </c>
      <c r="J21" s="58" t="s">
        <v>306</v>
      </c>
    </row>
    <row r="22" customFormat="false" ht="36" hidden="false" customHeight="true" outlineLevel="0" collapsed="false">
      <c r="A22" s="50" t="s">
        <v>320</v>
      </c>
      <c r="B22" s="61" t="s">
        <v>321</v>
      </c>
      <c r="C22" s="63" t="s">
        <v>295</v>
      </c>
      <c r="D22" s="38"/>
      <c r="E22" s="38"/>
      <c r="F22" s="38"/>
      <c r="G22" s="6" t="s">
        <v>322</v>
      </c>
      <c r="H22" s="59" t="s">
        <v>309</v>
      </c>
      <c r="I22" s="53" t="s">
        <v>323</v>
      </c>
      <c r="J22" s="58" t="s">
        <v>306</v>
      </c>
    </row>
    <row r="23" customFormat="false" ht="36" hidden="false" customHeight="true" outlineLevel="0" collapsed="false">
      <c r="A23" s="50" t="s">
        <v>324</v>
      </c>
      <c r="B23" s="61" t="s">
        <v>325</v>
      </c>
      <c r="C23" s="62" t="s">
        <v>273</v>
      </c>
      <c r="D23" s="38"/>
      <c r="E23" s="38"/>
      <c r="F23" s="38"/>
      <c r="G23" s="6" t="s">
        <v>326</v>
      </c>
      <c r="H23" s="57" t="s">
        <v>297</v>
      </c>
      <c r="I23" s="53" t="s">
        <v>327</v>
      </c>
      <c r="J23" s="58" t="s">
        <v>306</v>
      </c>
    </row>
    <row r="24" customFormat="false" ht="36" hidden="false" customHeight="true" outlineLevel="0" collapsed="false">
      <c r="A24" s="50" t="s">
        <v>127</v>
      </c>
      <c r="B24" s="61" t="s">
        <v>328</v>
      </c>
      <c r="C24" s="62" t="s">
        <v>273</v>
      </c>
      <c r="D24" s="38"/>
      <c r="E24" s="38"/>
      <c r="F24" s="38"/>
      <c r="G24" s="6" t="s">
        <v>329</v>
      </c>
      <c r="H24" s="52" t="s">
        <v>279</v>
      </c>
      <c r="I24" s="53" t="s">
        <v>330</v>
      </c>
      <c r="J24" s="58" t="s">
        <v>306</v>
      </c>
    </row>
    <row r="25" customFormat="false" ht="36" hidden="false" customHeight="true" outlineLevel="0" collapsed="false">
      <c r="A25" s="50" t="s">
        <v>331</v>
      </c>
      <c r="B25" s="61" t="s">
        <v>332</v>
      </c>
      <c r="C25" s="62" t="s">
        <v>273</v>
      </c>
      <c r="D25" s="38"/>
      <c r="E25" s="38"/>
      <c r="F25" s="38"/>
      <c r="G25" s="6" t="s">
        <v>333</v>
      </c>
      <c r="H25" s="52" t="s">
        <v>279</v>
      </c>
      <c r="I25" s="53" t="s">
        <v>334</v>
      </c>
      <c r="J25" s="58" t="s">
        <v>306</v>
      </c>
    </row>
    <row r="26" customFormat="false" ht="36" hidden="false" customHeight="true" outlineLevel="0" collapsed="false">
      <c r="A26" s="50" t="s">
        <v>335</v>
      </c>
      <c r="B26" s="61" t="s">
        <v>336</v>
      </c>
      <c r="C26" s="62" t="s">
        <v>273</v>
      </c>
      <c r="D26" s="38"/>
      <c r="E26" s="38"/>
      <c r="F26" s="38"/>
      <c r="G26" s="6" t="s">
        <v>337</v>
      </c>
      <c r="H26" s="57" t="s">
        <v>297</v>
      </c>
      <c r="I26" s="53" t="s">
        <v>338</v>
      </c>
      <c r="J26" s="58" t="s">
        <v>306</v>
      </c>
    </row>
    <row r="27" customFormat="false" ht="36" hidden="false" customHeight="true" outlineLevel="0" collapsed="false">
      <c r="A27" s="50" t="s">
        <v>133</v>
      </c>
      <c r="B27" s="61" t="s">
        <v>339</v>
      </c>
      <c r="C27" s="63" t="s">
        <v>295</v>
      </c>
      <c r="D27" s="38"/>
      <c r="E27" s="38"/>
      <c r="F27" s="38"/>
      <c r="G27" s="6" t="s">
        <v>340</v>
      </c>
      <c r="H27" s="59" t="s">
        <v>309</v>
      </c>
      <c r="I27" s="53" t="s">
        <v>341</v>
      </c>
      <c r="J27" s="58" t="s">
        <v>306</v>
      </c>
    </row>
    <row r="28" customFormat="false" ht="36" hidden="false" customHeight="true" outlineLevel="0" collapsed="false">
      <c r="A28" s="50" t="s">
        <v>140</v>
      </c>
      <c r="B28" s="61" t="s">
        <v>342</v>
      </c>
      <c r="C28" s="62" t="s">
        <v>273</v>
      </c>
      <c r="D28" s="38"/>
      <c r="E28" s="38"/>
      <c r="F28" s="38"/>
      <c r="G28" s="6" t="s">
        <v>343</v>
      </c>
      <c r="H28" s="59" t="s">
        <v>309</v>
      </c>
      <c r="I28" s="53" t="s">
        <v>344</v>
      </c>
      <c r="J28" s="58" t="s">
        <v>306</v>
      </c>
    </row>
    <row r="29" customFormat="false" ht="105.95" hidden="false" customHeight="false" outlineLevel="0" collapsed="false">
      <c r="A29" s="50" t="s">
        <v>146</v>
      </c>
      <c r="B29" s="61" t="s">
        <v>345</v>
      </c>
      <c r="C29" s="63" t="s">
        <v>295</v>
      </c>
      <c r="D29" s="38"/>
      <c r="E29" s="38"/>
      <c r="F29" s="38"/>
      <c r="G29" s="6" t="s">
        <v>346</v>
      </c>
      <c r="H29" s="57" t="s">
        <v>297</v>
      </c>
      <c r="I29" s="53" t="s">
        <v>347</v>
      </c>
      <c r="J29" s="58" t="s">
        <v>306</v>
      </c>
    </row>
  </sheetData>
  <mergeCells count="6">
    <mergeCell ref="A1:J1"/>
    <mergeCell ref="A2:J2"/>
    <mergeCell ref="A5:J5"/>
    <mergeCell ref="A7:J7"/>
    <mergeCell ref="A13:J13"/>
    <mergeCell ref="A19:J19"/>
  </mergeCells>
  <dataValidations count="3">
    <dataValidation allowBlank="true" errorStyle="stop" operator="between" showDropDown="false" showErrorMessage="false" showInputMessage="false" sqref="G5:G16 C8:C12 C14:C18 C20:C28" type="list">
      <formula1>"CONFIRMED,CREDIBLE,INDICATIVE"</formula1>
      <formula2>0</formula2>
    </dataValidation>
    <dataValidation allowBlank="true" errorStyle="stop" operator="between" showDropDown="false" showErrorMessage="false" showInputMessage="false" sqref="H8:H12 H14:H18 H20:H28" type="list">
      <formula1>"Improving,Worsening,No Change,Insufficient Data"</formula1>
      <formula2>0</formula2>
    </dataValidation>
    <dataValidation allowBlank="true" errorStyle="stop" operator="between" showDropDown="false" showErrorMessage="false" showInputMessage="false" sqref="J8:J12 J14:J18 J20:J28" type="list">
      <formula1>"L1 - Operational Now,L2 - Requires Buy-In,L1/L2 Partial"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2"/>
    <col collapsed="false" customWidth="true" hidden="false" outlineLevel="0" max="4" min="4" style="0" width="40"/>
    <col collapsed="false" customWidth="true" hidden="false" outlineLevel="0" max="5" min="5" style="0" width="22"/>
    <col collapsed="false" customWidth="true" hidden="false" outlineLevel="0" max="8" min="6" style="0" width="16"/>
    <col collapsed="false" customWidth="true" hidden="false" outlineLevel="0" max="9" min="9" style="0" width="20"/>
    <col collapsed="false" customWidth="true" hidden="false" outlineLevel="0" max="10" min="10" style="0" width="18"/>
  </cols>
  <sheetData>
    <row r="1" customFormat="false" ht="36" hidden="false" customHeight="true" outlineLevel="0" collapsed="false">
      <c r="A1" s="1" t="s">
        <v>348</v>
      </c>
      <c r="B1" s="1"/>
      <c r="C1" s="1"/>
      <c r="D1" s="1"/>
      <c r="E1" s="1"/>
      <c r="F1" s="1"/>
      <c r="G1" s="1"/>
      <c r="H1" s="1"/>
      <c r="I1" s="1"/>
      <c r="J1" s="1"/>
    </row>
    <row r="2" customFormat="false" ht="18" hidden="false" customHeight="true" outlineLevel="0" collapsed="false">
      <c r="A2" s="2" t="s">
        <v>349</v>
      </c>
      <c r="B2" s="2"/>
      <c r="C2" s="2"/>
      <c r="D2" s="2"/>
      <c r="E2" s="2"/>
      <c r="F2" s="2"/>
      <c r="G2" s="2"/>
      <c r="H2" s="2"/>
      <c r="I2" s="2"/>
      <c r="J2" s="2"/>
    </row>
    <row r="4" customFormat="false" ht="27.75" hidden="false" customHeight="true" outlineLevel="0" collapsed="false">
      <c r="A4" s="37" t="s">
        <v>350</v>
      </c>
      <c r="B4" s="37" t="s">
        <v>351</v>
      </c>
      <c r="C4" s="37" t="s">
        <v>352</v>
      </c>
      <c r="D4" s="37" t="s">
        <v>353</v>
      </c>
      <c r="E4" s="37" t="s">
        <v>354</v>
      </c>
      <c r="F4" s="37" t="s">
        <v>355</v>
      </c>
      <c r="G4" s="37" t="s">
        <v>264</v>
      </c>
      <c r="H4" s="37" t="s">
        <v>356</v>
      </c>
      <c r="I4" s="37" t="s">
        <v>357</v>
      </c>
    </row>
    <row r="5" customFormat="false" ht="72" hidden="false" customHeight="true" outlineLevel="0" collapsed="false">
      <c r="A5" s="64" t="s">
        <v>358</v>
      </c>
      <c r="B5" s="65" t="s">
        <v>359</v>
      </c>
      <c r="C5" s="48" t="s">
        <v>360</v>
      </c>
      <c r="D5" s="53" t="s">
        <v>361</v>
      </c>
      <c r="E5" s="66" t="s">
        <v>362</v>
      </c>
      <c r="F5" s="54" t="s">
        <v>277</v>
      </c>
      <c r="G5" s="41" t="s">
        <v>295</v>
      </c>
      <c r="H5" s="6"/>
      <c r="I5" s="39"/>
    </row>
    <row r="6" customFormat="false" ht="72" hidden="false" customHeight="true" outlineLevel="0" collapsed="false">
      <c r="A6" s="64" t="s">
        <v>363</v>
      </c>
      <c r="B6" s="65" t="s">
        <v>359</v>
      </c>
      <c r="C6" s="66" t="s">
        <v>364</v>
      </c>
      <c r="D6" s="67" t="s">
        <v>365</v>
      </c>
      <c r="E6" s="66" t="s">
        <v>362</v>
      </c>
      <c r="F6" s="58" t="s">
        <v>306</v>
      </c>
      <c r="G6" s="41" t="s">
        <v>295</v>
      </c>
      <c r="H6" s="6"/>
      <c r="I6" s="39"/>
    </row>
    <row r="7" customFormat="false" ht="72" hidden="false" customHeight="true" outlineLevel="0" collapsed="false">
      <c r="A7" s="64" t="s">
        <v>366</v>
      </c>
      <c r="B7" s="65" t="s">
        <v>359</v>
      </c>
      <c r="C7" s="48" t="s">
        <v>367</v>
      </c>
      <c r="D7" s="53" t="s">
        <v>368</v>
      </c>
      <c r="E7" s="66" t="s">
        <v>362</v>
      </c>
      <c r="F7" s="58" t="s">
        <v>306</v>
      </c>
      <c r="G7" s="41" t="s">
        <v>295</v>
      </c>
      <c r="H7" s="6"/>
      <c r="I7" s="39"/>
    </row>
    <row r="8" customFormat="false" ht="72" hidden="false" customHeight="true" outlineLevel="0" collapsed="false">
      <c r="A8" s="64" t="s">
        <v>369</v>
      </c>
      <c r="B8" s="68" t="s">
        <v>370</v>
      </c>
      <c r="C8" s="66" t="s">
        <v>371</v>
      </c>
      <c r="D8" s="67" t="s">
        <v>372</v>
      </c>
      <c r="E8" s="66" t="s">
        <v>362</v>
      </c>
      <c r="F8" s="58" t="s">
        <v>306</v>
      </c>
      <c r="G8" s="39" t="s">
        <v>273</v>
      </c>
      <c r="H8" s="6"/>
      <c r="I8" s="39"/>
    </row>
    <row r="9" customFormat="false" ht="72" hidden="false" customHeight="true" outlineLevel="0" collapsed="false">
      <c r="A9" s="64" t="s">
        <v>373</v>
      </c>
      <c r="B9" s="68" t="s">
        <v>370</v>
      </c>
      <c r="C9" s="48" t="s">
        <v>374</v>
      </c>
      <c r="D9" s="53" t="s">
        <v>375</v>
      </c>
      <c r="E9" s="66" t="s">
        <v>362</v>
      </c>
      <c r="F9" s="54" t="s">
        <v>277</v>
      </c>
      <c r="G9" s="41" t="s">
        <v>295</v>
      </c>
      <c r="H9" s="6"/>
      <c r="I9" s="39"/>
    </row>
    <row r="10" customFormat="false" ht="72" hidden="false" customHeight="true" outlineLevel="0" collapsed="false">
      <c r="A10" s="64" t="s">
        <v>376</v>
      </c>
      <c r="B10" s="68" t="s">
        <v>370</v>
      </c>
      <c r="C10" s="66" t="s">
        <v>377</v>
      </c>
      <c r="D10" s="67" t="s">
        <v>378</v>
      </c>
      <c r="E10" s="66" t="s">
        <v>362</v>
      </c>
      <c r="F10" s="58" t="s">
        <v>306</v>
      </c>
      <c r="G10" s="41" t="s">
        <v>295</v>
      </c>
      <c r="H10" s="6"/>
      <c r="I10" s="39"/>
    </row>
    <row r="11" customFormat="false" ht="72" hidden="false" customHeight="true" outlineLevel="0" collapsed="false">
      <c r="A11" s="64" t="s">
        <v>379</v>
      </c>
      <c r="B11" s="68" t="s">
        <v>370</v>
      </c>
      <c r="C11" s="48" t="s">
        <v>380</v>
      </c>
      <c r="D11" s="53" t="s">
        <v>381</v>
      </c>
      <c r="E11" s="66" t="s">
        <v>362</v>
      </c>
      <c r="F11" s="58" t="s">
        <v>306</v>
      </c>
      <c r="G11" s="39" t="s">
        <v>273</v>
      </c>
      <c r="H11" s="6"/>
      <c r="I11" s="39"/>
    </row>
    <row r="12" customFormat="false" ht="72" hidden="false" customHeight="true" outlineLevel="0" collapsed="false">
      <c r="A12" s="64" t="s">
        <v>382</v>
      </c>
      <c r="B12" s="68" t="s">
        <v>370</v>
      </c>
      <c r="C12" s="66" t="s">
        <v>383</v>
      </c>
      <c r="D12" s="67" t="s">
        <v>384</v>
      </c>
      <c r="E12" s="66" t="s">
        <v>362</v>
      </c>
      <c r="F12" s="58" t="s">
        <v>306</v>
      </c>
      <c r="G12" s="41" t="s">
        <v>295</v>
      </c>
      <c r="H12" s="6"/>
      <c r="I12" s="39"/>
    </row>
    <row r="13" customFormat="false" ht="72" hidden="false" customHeight="true" outlineLevel="0" collapsed="false">
      <c r="A13" s="64" t="s">
        <v>385</v>
      </c>
      <c r="B13" s="68" t="s">
        <v>370</v>
      </c>
      <c r="C13" s="48" t="s">
        <v>386</v>
      </c>
      <c r="D13" s="53" t="s">
        <v>387</v>
      </c>
      <c r="E13" s="66" t="s">
        <v>278</v>
      </c>
      <c r="F13" s="54" t="s">
        <v>281</v>
      </c>
      <c r="G13" s="39" t="s">
        <v>273</v>
      </c>
      <c r="H13" s="6"/>
      <c r="I13" s="39"/>
    </row>
    <row r="14" customFormat="false" ht="72" hidden="false" customHeight="true" outlineLevel="0" collapsed="false">
      <c r="A14" s="64" t="s">
        <v>388</v>
      </c>
      <c r="B14" s="68" t="s">
        <v>370</v>
      </c>
      <c r="C14" s="66" t="s">
        <v>389</v>
      </c>
      <c r="D14" s="67" t="s">
        <v>390</v>
      </c>
      <c r="E14" s="66" t="s">
        <v>362</v>
      </c>
      <c r="F14" s="54" t="s">
        <v>277</v>
      </c>
      <c r="G14" s="39" t="s">
        <v>273</v>
      </c>
      <c r="H14" s="6"/>
      <c r="I14" s="39"/>
    </row>
    <row r="15" customFormat="false" ht="72" hidden="false" customHeight="true" outlineLevel="0" collapsed="false">
      <c r="A15" s="64" t="s">
        <v>391</v>
      </c>
      <c r="B15" s="69" t="s">
        <v>392</v>
      </c>
      <c r="C15" s="48" t="s">
        <v>393</v>
      </c>
      <c r="D15" s="53" t="s">
        <v>394</v>
      </c>
      <c r="E15" s="66" t="s">
        <v>362</v>
      </c>
      <c r="F15" s="58" t="s">
        <v>306</v>
      </c>
      <c r="G15" s="70" t="s">
        <v>313</v>
      </c>
      <c r="H15" s="6"/>
      <c r="I15" s="39"/>
    </row>
    <row r="16" customFormat="false" ht="72" hidden="false" customHeight="true" outlineLevel="0" collapsed="false">
      <c r="A16" s="64" t="s">
        <v>395</v>
      </c>
      <c r="B16" s="69" t="s">
        <v>392</v>
      </c>
      <c r="C16" s="66" t="s">
        <v>396</v>
      </c>
      <c r="D16" s="67" t="s">
        <v>381</v>
      </c>
      <c r="E16" s="66" t="s">
        <v>362</v>
      </c>
      <c r="F16" s="58" t="s">
        <v>306</v>
      </c>
      <c r="G16" s="70" t="s">
        <v>313</v>
      </c>
      <c r="H16" s="6"/>
      <c r="I16" s="39"/>
    </row>
  </sheetData>
  <mergeCells count="2">
    <mergeCell ref="A1:J1"/>
    <mergeCell ref="A2:J2"/>
  </mergeCells>
  <dataValidations count="3">
    <dataValidation allowBlank="true" errorStyle="stop" operator="between" showDropDown="false" showErrorMessage="false" showInputMessage="false" sqref="B5:B16" type="list">
      <formula1>"CRITICAL,HIGH,MEDIUM"</formula1>
      <formula2>0</formula2>
    </dataValidation>
    <dataValidation allowBlank="true" errorStyle="stop" operator="between" showDropDown="false" showErrorMessage="false" showInputMessage="false" sqref="F5:F16" type="list">
      <formula1>"L1 - Operational Now,L2 - Requires Buy-In,L1/L2 Partial"</formula1>
      <formula2>0</formula2>
    </dataValidation>
    <dataValidation allowBlank="true" errorStyle="stop" operator="between" showDropDown="false" showErrorMessage="false" showInputMessage="false" sqref="I5:I16" type="list">
      <formula1>"Yes,No,Under Review"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7" min="3" style="0" width="22"/>
  </cols>
  <sheetData>
    <row r="1" customFormat="false" ht="36" hidden="false" customHeight="true" outlineLevel="0" collapsed="false">
      <c r="A1" s="1" t="s">
        <v>397</v>
      </c>
      <c r="B1" s="1"/>
      <c r="C1" s="1"/>
      <c r="D1" s="1"/>
      <c r="E1" s="1"/>
      <c r="F1" s="1"/>
      <c r="G1" s="1"/>
    </row>
    <row r="2" customFormat="false" ht="18" hidden="false" customHeight="true" outlineLevel="0" collapsed="false">
      <c r="A2" s="2" t="s">
        <v>398</v>
      </c>
      <c r="B2" s="2"/>
      <c r="C2" s="2"/>
      <c r="D2" s="2"/>
      <c r="E2" s="2"/>
      <c r="F2" s="2"/>
      <c r="G2" s="2"/>
    </row>
    <row r="4" customFormat="false" ht="21.75" hidden="false" customHeight="true" outlineLevel="0" collapsed="false">
      <c r="A4" s="49" t="s">
        <v>399</v>
      </c>
      <c r="B4" s="49"/>
      <c r="C4" s="49"/>
      <c r="D4" s="49"/>
      <c r="E4" s="49"/>
      <c r="F4" s="49"/>
      <c r="G4" s="49"/>
    </row>
    <row r="5" customFormat="false" ht="24" hidden="false" customHeight="true" outlineLevel="0" collapsed="false">
      <c r="A5" s="37" t="s">
        <v>400</v>
      </c>
      <c r="B5" s="37" t="s">
        <v>401</v>
      </c>
      <c r="C5" s="37" t="s">
        <v>402</v>
      </c>
      <c r="D5" s="37" t="s">
        <v>403</v>
      </c>
      <c r="E5" s="37" t="s">
        <v>356</v>
      </c>
      <c r="F5" s="37" t="s">
        <v>404</v>
      </c>
    </row>
    <row r="6" customFormat="false" ht="18" hidden="false" customHeight="true" outlineLevel="0" collapsed="false">
      <c r="A6" s="66" t="s">
        <v>405</v>
      </c>
      <c r="B6" s="6" t="n">
        <v>1075</v>
      </c>
      <c r="C6" s="38"/>
      <c r="D6" s="38"/>
      <c r="E6" s="71" t="s">
        <v>406</v>
      </c>
      <c r="F6" s="71" t="s">
        <v>407</v>
      </c>
    </row>
    <row r="7" customFormat="false" ht="18" hidden="false" customHeight="true" outlineLevel="0" collapsed="false">
      <c r="A7" s="48" t="s">
        <v>408</v>
      </c>
      <c r="B7" s="6" t="n">
        <v>1248</v>
      </c>
      <c r="C7" s="42"/>
      <c r="D7" s="42"/>
      <c r="E7" s="71" t="s">
        <v>406</v>
      </c>
      <c r="F7" s="71" t="s">
        <v>409</v>
      </c>
    </row>
    <row r="8" customFormat="false" ht="18" hidden="false" customHeight="true" outlineLevel="0" collapsed="false">
      <c r="A8" s="66" t="s">
        <v>410</v>
      </c>
      <c r="B8" s="6" t="n">
        <v>1257</v>
      </c>
      <c r="C8" s="72" t="n">
        <f aca="false">IF(B8&lt;&gt;"",(B8-B7)/B7,"")</f>
        <v>0.00721153846153846</v>
      </c>
      <c r="D8" s="38"/>
      <c r="E8" s="71" t="s">
        <v>406</v>
      </c>
      <c r="F8" s="71" t="s">
        <v>411</v>
      </c>
    </row>
    <row r="9" customFormat="false" ht="18" hidden="false" customHeight="true" outlineLevel="0" collapsed="false">
      <c r="A9" s="48" t="s">
        <v>412</v>
      </c>
      <c r="B9" s="6" t="n">
        <v>1663</v>
      </c>
      <c r="C9" s="73" t="n">
        <f aca="false">IF(B9&lt;&gt;"",(B9-B8)/B8,"")</f>
        <v>0.322991249005569</v>
      </c>
      <c r="D9" s="42"/>
      <c r="E9" s="71" t="s">
        <v>406</v>
      </c>
      <c r="F9" s="71" t="s">
        <v>413</v>
      </c>
    </row>
    <row r="10" customFormat="false" ht="18" hidden="false" customHeight="true" outlineLevel="0" collapsed="false">
      <c r="A10" s="66" t="s">
        <v>414</v>
      </c>
      <c r="B10" s="6" t="n">
        <v>600</v>
      </c>
      <c r="C10" s="72" t="n">
        <f aca="false">IF(B10&lt;&gt;"",(B10-B9)/B9,"")</f>
        <v>-0.639206253758268</v>
      </c>
      <c r="D10" s="38" t="n">
        <f aca="false">IF(B10&lt;&gt;"",B10-AVERAGE(B7:B9),"")</f>
        <v>-789.333333333333</v>
      </c>
      <c r="E10" s="71" t="s">
        <v>406</v>
      </c>
      <c r="F10" s="71" t="s">
        <v>415</v>
      </c>
    </row>
    <row r="11" customFormat="false" ht="18" hidden="false" customHeight="true" outlineLevel="0" collapsed="false">
      <c r="A11" s="48" t="s">
        <v>416</v>
      </c>
      <c r="B11" s="6" t="n">
        <v>580</v>
      </c>
      <c r="C11" s="73" t="n">
        <f aca="false">IF(B11&lt;&gt;"",(B11-B10)/B10,"")</f>
        <v>-0.0333333333333333</v>
      </c>
      <c r="D11" s="42" t="n">
        <f aca="false">IF(B11&lt;&gt;"",B11-AVERAGE(B8:B10),"")</f>
        <v>-593.333333333333</v>
      </c>
      <c r="E11" s="71" t="s">
        <v>406</v>
      </c>
      <c r="F11" s="71" t="s">
        <v>417</v>
      </c>
    </row>
    <row r="12" customFormat="false" ht="18" hidden="false" customHeight="true" outlineLevel="0" collapsed="false">
      <c r="A12" s="66" t="s">
        <v>418</v>
      </c>
      <c r="B12" s="6" t="n">
        <v>640</v>
      </c>
      <c r="C12" s="72" t="n">
        <f aca="false">IF(B12&lt;&gt;"",(B12-B11)/B11,"")</f>
        <v>0.103448275862069</v>
      </c>
      <c r="D12" s="38" t="n">
        <f aca="false">IF(B12&lt;&gt;"",B12-AVERAGE(B9:B11),"")</f>
        <v>-307.666666666667</v>
      </c>
      <c r="E12" s="71" t="s">
        <v>406</v>
      </c>
      <c r="F12" s="71" t="s">
        <v>417</v>
      </c>
    </row>
    <row r="13" customFormat="false" ht="18" hidden="false" customHeight="true" outlineLevel="0" collapsed="false">
      <c r="A13" s="48" t="s">
        <v>419</v>
      </c>
      <c r="B13" s="6" t="n">
        <v>590</v>
      </c>
      <c r="C13" s="73" t="n">
        <f aca="false">IF(B13&lt;&gt;"",(B13-B12)/B12,"")</f>
        <v>-0.078125</v>
      </c>
      <c r="D13" s="42" t="n">
        <f aca="false">IF(B13&lt;&gt;"",B13-AVERAGE(B10:B12),"")</f>
        <v>-16.6666666666666</v>
      </c>
      <c r="E13" s="71" t="s">
        <v>406</v>
      </c>
      <c r="F13" s="71" t="s">
        <v>420</v>
      </c>
    </row>
    <row r="14" customFormat="false" ht="18" hidden="false" customHeight="true" outlineLevel="0" collapsed="false">
      <c r="A14" s="66" t="s">
        <v>421</v>
      </c>
      <c r="B14" s="6" t="n">
        <v>650</v>
      </c>
      <c r="C14" s="72" t="n">
        <f aca="false">IF(B14&lt;&gt;"",(B14-B13)/B13,"")</f>
        <v>0.101694915254237</v>
      </c>
      <c r="D14" s="38" t="n">
        <f aca="false">IF(B14&lt;&gt;"",B14-AVERAGE(B11:B13),"")</f>
        <v>46.6666666666666</v>
      </c>
      <c r="E14" s="71" t="s">
        <v>406</v>
      </c>
      <c r="F14" s="71" t="s">
        <v>417</v>
      </c>
    </row>
    <row r="15" customFormat="false" ht="18" hidden="false" customHeight="true" outlineLevel="0" collapsed="false">
      <c r="A15" s="48" t="s">
        <v>422</v>
      </c>
      <c r="B15" s="6" t="n">
        <v>610</v>
      </c>
      <c r="C15" s="73" t="n">
        <f aca="false">IF(B15&lt;&gt;"",(B15-B14)/B14,"")</f>
        <v>-0.0615384615384615</v>
      </c>
      <c r="D15" s="42" t="n">
        <f aca="false">IF(B15&lt;&gt;"",B15-AVERAGE(B12:B14),"")</f>
        <v>-16.6666666666666</v>
      </c>
      <c r="E15" s="71" t="s">
        <v>406</v>
      </c>
      <c r="F15" s="71" t="s">
        <v>417</v>
      </c>
    </row>
    <row r="16" customFormat="false" ht="18" hidden="false" customHeight="true" outlineLevel="0" collapsed="false">
      <c r="A16" s="66" t="s">
        <v>423</v>
      </c>
      <c r="B16" s="6" t="n">
        <v>680</v>
      </c>
      <c r="C16" s="72" t="n">
        <f aca="false">IF(B16&lt;&gt;"",(B16-B15)/B15,"")</f>
        <v>0.114754098360656</v>
      </c>
      <c r="D16" s="38" t="n">
        <f aca="false">IF(B16&lt;&gt;"",B16-AVERAGE(B13:B15),"")</f>
        <v>63.3333333333334</v>
      </c>
      <c r="E16" s="71" t="s">
        <v>406</v>
      </c>
      <c r="F16" s="71" t="s">
        <v>417</v>
      </c>
    </row>
    <row r="17" customFormat="false" ht="18" hidden="false" customHeight="true" outlineLevel="0" collapsed="false">
      <c r="A17" s="48" t="s">
        <v>424</v>
      </c>
      <c r="B17" s="6" t="n">
        <v>700</v>
      </c>
      <c r="C17" s="73" t="n">
        <f aca="false">IF(B17&lt;&gt;"",(B17-B16)/B16,"")</f>
        <v>0.0294117647058824</v>
      </c>
      <c r="D17" s="42" t="n">
        <f aca="false">IF(B17&lt;&gt;"",B17-AVERAGE(B14:B16),"")</f>
        <v>53.3333333333334</v>
      </c>
      <c r="E17" s="71" t="s">
        <v>406</v>
      </c>
      <c r="F17" s="71" t="s">
        <v>417</v>
      </c>
    </row>
    <row r="18" customFormat="false" ht="18" hidden="false" customHeight="true" outlineLevel="0" collapsed="false">
      <c r="A18" s="66" t="s">
        <v>425</v>
      </c>
      <c r="B18" s="6" t="n">
        <v>660</v>
      </c>
      <c r="C18" s="72" t="n">
        <f aca="false">IF(B18&lt;&gt;"",(B18-B17)/B17,"")</f>
        <v>-0.0571428571428571</v>
      </c>
      <c r="D18" s="38" t="n">
        <f aca="false">IF(B18&lt;&gt;"",B18-AVERAGE(B15:B17),"")</f>
        <v>-3.33333333333337</v>
      </c>
      <c r="E18" s="71" t="s">
        <v>406</v>
      </c>
      <c r="F18" s="71" t="s">
        <v>426</v>
      </c>
    </row>
    <row r="19" customFormat="false" ht="18" hidden="false" customHeight="true" outlineLevel="0" collapsed="false">
      <c r="A19" s="42"/>
      <c r="B19" s="38"/>
      <c r="C19" s="73" t="str">
        <f aca="false">IF(B19&lt;&gt;"",(B19-B18)/B18,"")</f>
        <v/>
      </c>
      <c r="D19" s="42" t="str">
        <f aca="false">IF(B19&lt;&gt;"",B19-AVERAGE(B16:B18),"")</f>
        <v/>
      </c>
      <c r="E19" s="74"/>
      <c r="F19" s="38"/>
    </row>
    <row r="20" customFormat="false" ht="18" hidden="false" customHeight="true" outlineLevel="0" collapsed="false">
      <c r="A20" s="38"/>
      <c r="B20" s="38"/>
      <c r="C20" s="72" t="str">
        <f aca="false">IF(B20&lt;&gt;"",(B20-B19)/B19,"")</f>
        <v/>
      </c>
      <c r="D20" s="38" t="str">
        <f aca="false">IF(B20&lt;&gt;"",B20-AVERAGE(B17:B19),"")</f>
        <v/>
      </c>
      <c r="E20" s="74"/>
      <c r="F20" s="38"/>
    </row>
    <row r="21" customFormat="false" ht="18" hidden="false" customHeight="true" outlineLevel="0" collapsed="false">
      <c r="A21" s="42"/>
      <c r="B21" s="38"/>
      <c r="C21" s="73" t="str">
        <f aca="false">IF(B21&lt;&gt;"",(B21-B20)/B20,"")</f>
        <v/>
      </c>
      <c r="D21" s="42" t="str">
        <f aca="false">IF(B21&lt;&gt;"",B21-AVERAGE(B18:B20),"")</f>
        <v/>
      </c>
      <c r="E21" s="74"/>
      <c r="F21" s="38"/>
    </row>
    <row r="23" customFormat="false" ht="21.75" hidden="false" customHeight="true" outlineLevel="0" collapsed="false">
      <c r="A23" s="3" t="s">
        <v>427</v>
      </c>
      <c r="B23" s="3"/>
      <c r="C23" s="3"/>
      <c r="D23" s="3"/>
      <c r="E23" s="3"/>
      <c r="F23" s="3"/>
      <c r="G23" s="3"/>
    </row>
    <row r="24" customFormat="false" ht="24" hidden="false" customHeight="true" outlineLevel="0" collapsed="false">
      <c r="A24" s="37" t="s">
        <v>400</v>
      </c>
      <c r="B24" s="37" t="s">
        <v>428</v>
      </c>
      <c r="C24" s="37" t="s">
        <v>402</v>
      </c>
      <c r="D24" s="37" t="s">
        <v>429</v>
      </c>
      <c r="E24" s="37" t="s">
        <v>356</v>
      </c>
      <c r="F24" s="37" t="s">
        <v>430</v>
      </c>
    </row>
    <row r="25" customFormat="false" ht="18" hidden="false" customHeight="true" outlineLevel="0" collapsed="false">
      <c r="A25" s="48" t="s">
        <v>431</v>
      </c>
      <c r="B25" s="6" t="n">
        <v>7</v>
      </c>
      <c r="C25" s="42"/>
      <c r="D25" s="42"/>
      <c r="E25" s="74"/>
      <c r="F25" s="71" t="s">
        <v>432</v>
      </c>
    </row>
    <row r="26" customFormat="false" ht="18" hidden="false" customHeight="true" outlineLevel="0" collapsed="false">
      <c r="A26" s="66" t="s">
        <v>433</v>
      </c>
      <c r="B26" s="6" t="n">
        <v>3</v>
      </c>
      <c r="C26" s="38"/>
      <c r="D26" s="38"/>
      <c r="E26" s="74"/>
      <c r="F26" s="71" t="s">
        <v>434</v>
      </c>
    </row>
    <row r="27" customFormat="false" ht="18" hidden="false" customHeight="true" outlineLevel="0" collapsed="false">
      <c r="A27" s="48" t="s">
        <v>435</v>
      </c>
      <c r="B27" s="6" t="n">
        <v>2.5</v>
      </c>
      <c r="C27" s="73" t="n">
        <f aca="false">IF(B27&lt;&gt;"",(B27-B26)/B26,"")</f>
        <v>-0.166666666666667</v>
      </c>
      <c r="D27" s="42" t="str">
        <f aca="false">IF(B27&lt;&gt;"",IF(B27&lt;B26,"COMPRESSING - pressure signal","Extending or stable"),"")</f>
        <v>COMPRESSING - pressure signal</v>
      </c>
      <c r="E27" s="74"/>
      <c r="F27" s="71" t="s">
        <v>436</v>
      </c>
    </row>
    <row r="28" customFormat="false" ht="18" hidden="false" customHeight="true" outlineLevel="0" collapsed="false">
      <c r="A28" s="66" t="s">
        <v>437</v>
      </c>
      <c r="B28" s="6" t="n">
        <v>2</v>
      </c>
      <c r="C28" s="72" t="n">
        <f aca="false">IF(B28&lt;&gt;"",(B28-B27)/B27,"")</f>
        <v>-0.2</v>
      </c>
      <c r="D28" s="38" t="str">
        <f aca="false">IF(B28&lt;&gt;"",IF(B28&lt;B27,"COMPRESSING - pressure signal","Extending or stable"),"")</f>
        <v>COMPRESSING - pressure signal</v>
      </c>
      <c r="E28" s="74"/>
      <c r="F28" s="71" t="s">
        <v>417</v>
      </c>
    </row>
    <row r="29" customFormat="false" ht="18" hidden="false" customHeight="true" outlineLevel="0" collapsed="false">
      <c r="A29" s="48" t="s">
        <v>438</v>
      </c>
      <c r="B29" s="6" t="n">
        <v>2</v>
      </c>
      <c r="C29" s="73" t="n">
        <f aca="false">IF(B29&lt;&gt;"",(B29-B28)/B28,"")</f>
        <v>0</v>
      </c>
      <c r="D29" s="42" t="str">
        <f aca="false">IF(B29&lt;&gt;"",IF(B29&lt;B28,"COMPRESSING - pressure signal","Extending or stable"),"")</f>
        <v>Extending or stable</v>
      </c>
      <c r="E29" s="74"/>
      <c r="F29" s="71" t="s">
        <v>417</v>
      </c>
    </row>
    <row r="30" customFormat="false" ht="18" hidden="false" customHeight="true" outlineLevel="0" collapsed="false">
      <c r="A30" s="38"/>
      <c r="B30" s="38"/>
      <c r="C30" s="72" t="str">
        <f aca="false">IF(B30&lt;&gt;"",(B30-B29)/B29,"")</f>
        <v/>
      </c>
      <c r="D30" s="38" t="str">
        <f aca="false">IF(B30&lt;&gt;"",IF(B30&lt;B29,"COMPRESSING - pressure signal","Extending or stable"),"")</f>
        <v/>
      </c>
      <c r="E30" s="74"/>
      <c r="F30" s="38"/>
    </row>
    <row r="31" customFormat="false" ht="18" hidden="false" customHeight="true" outlineLevel="0" collapsed="false">
      <c r="A31" s="42"/>
      <c r="B31" s="38"/>
      <c r="C31" s="73" t="str">
        <f aca="false">IF(B31&lt;&gt;"",(B31-B30)/B30,"")</f>
        <v/>
      </c>
      <c r="D31" s="42" t="str">
        <f aca="false">IF(B31&lt;&gt;"",IF(B31&lt;B30,"COMPRESSING - pressure signal","Extending or stable"),"")</f>
        <v/>
      </c>
      <c r="E31" s="74"/>
      <c r="F31" s="38"/>
    </row>
    <row r="32" customFormat="false" ht="18" hidden="false" customHeight="true" outlineLevel="0" collapsed="false">
      <c r="A32" s="38"/>
      <c r="B32" s="38"/>
      <c r="C32" s="72" t="str">
        <f aca="false">IF(B32&lt;&gt;"",(B32-B31)/B31,"")</f>
        <v/>
      </c>
      <c r="D32" s="38" t="str">
        <f aca="false">IF(B32&lt;&gt;"",IF(B32&lt;B31,"COMPRESSING - pressure signal","Extending or stable"),"")</f>
        <v/>
      </c>
      <c r="E32" s="74"/>
      <c r="F32" s="38"/>
    </row>
    <row r="33" customFormat="false" ht="18" hidden="false" customHeight="true" outlineLevel="0" collapsed="false">
      <c r="A33" s="42"/>
      <c r="B33" s="38"/>
      <c r="C33" s="73" t="str">
        <f aca="false">IF(B33&lt;&gt;"",(B33-B32)/B32,"")</f>
        <v/>
      </c>
      <c r="D33" s="42" t="str">
        <f aca="false">IF(B33&lt;&gt;"",IF(B33&lt;B32,"COMPRESSING - pressure signal","Extending or stable"),"")</f>
        <v/>
      </c>
      <c r="E33" s="74"/>
      <c r="F33" s="38"/>
    </row>
    <row r="34" customFormat="false" ht="18" hidden="false" customHeight="true" outlineLevel="0" collapsed="false">
      <c r="A34" s="38"/>
      <c r="B34" s="38"/>
      <c r="C34" s="72" t="str">
        <f aca="false">IF(B34&lt;&gt;"",(B34-B33)/B33,"")</f>
        <v/>
      </c>
      <c r="D34" s="38" t="str">
        <f aca="false">IF(B34&lt;&gt;"",IF(B34&lt;B33,"COMPRESSING - pressure signal","Extending or stable"),"")</f>
        <v/>
      </c>
      <c r="E34" s="74"/>
      <c r="F34" s="38"/>
    </row>
    <row r="35" customFormat="false" ht="18" hidden="false" customHeight="true" outlineLevel="0" collapsed="false">
      <c r="A35" s="42"/>
      <c r="B35" s="38"/>
      <c r="C35" s="73" t="str">
        <f aca="false">IF(B35&lt;&gt;"",(B35-B34)/B34,"")</f>
        <v/>
      </c>
      <c r="D35" s="42" t="str">
        <f aca="false">IF(B35&lt;&gt;"",IF(B35&lt;B34,"COMPRESSING - pressure signal","Extending or stable"),"")</f>
        <v/>
      </c>
      <c r="E35" s="74"/>
      <c r="F35" s="38"/>
    </row>
    <row r="36" customFormat="false" ht="18" hidden="false" customHeight="true" outlineLevel="0" collapsed="false">
      <c r="A36" s="38"/>
      <c r="B36" s="38"/>
      <c r="C36" s="72" t="str">
        <f aca="false">IF(B36&lt;&gt;"",(B36-B35)/B35,"")</f>
        <v/>
      </c>
      <c r="D36" s="38" t="str">
        <f aca="false">IF(B36&lt;&gt;"",IF(B36&lt;B35,"COMPRESSING - pressure signal","Extending or stable"),"")</f>
        <v/>
      </c>
      <c r="E36" s="74"/>
      <c r="F36" s="38"/>
    </row>
    <row r="37" customFormat="false" ht="18" hidden="false" customHeight="true" outlineLevel="0" collapsed="false">
      <c r="A37" s="42"/>
      <c r="B37" s="38"/>
      <c r="C37" s="73" t="str">
        <f aca="false">IF(B37&lt;&gt;"",(B37-B36)/B36,"")</f>
        <v/>
      </c>
      <c r="D37" s="42" t="str">
        <f aca="false">IF(B37&lt;&gt;"",IF(B37&lt;B36,"COMPRESSING - pressure signal","Extending or stable"),"")</f>
        <v/>
      </c>
      <c r="E37" s="74"/>
      <c r="F37" s="38"/>
    </row>
    <row r="38" customFormat="false" ht="18" hidden="false" customHeight="true" outlineLevel="0" collapsed="false">
      <c r="A38" s="38"/>
      <c r="B38" s="38"/>
      <c r="C38" s="72" t="str">
        <f aca="false">IF(B38&lt;&gt;"",(B38-B37)/B37,"")</f>
        <v/>
      </c>
      <c r="D38" s="38" t="str">
        <f aca="false">IF(B38&lt;&gt;"",IF(B38&lt;B37,"COMPRESSING - pressure signal","Extending or stable"),"")</f>
        <v/>
      </c>
      <c r="E38" s="74"/>
      <c r="F38" s="38"/>
    </row>
    <row r="39" customFormat="false" ht="18" hidden="false" customHeight="true" outlineLevel="0" collapsed="false">
      <c r="A39" s="42"/>
      <c r="B39" s="38"/>
      <c r="C39" s="73" t="str">
        <f aca="false">IF(B39&lt;&gt;"",(B39-B38)/B38,"")</f>
        <v/>
      </c>
      <c r="D39" s="42" t="str">
        <f aca="false">IF(B39&lt;&gt;"",IF(B39&lt;B38,"COMPRESSING - pressure signal","Extending or stable"),"")</f>
        <v/>
      </c>
      <c r="E39" s="74"/>
      <c r="F39" s="38"/>
    </row>
    <row r="40" customFormat="false" ht="18" hidden="false" customHeight="true" outlineLevel="0" collapsed="false">
      <c r="A40" s="38"/>
      <c r="B40" s="38"/>
      <c r="C40" s="72" t="str">
        <f aca="false">IF(B40&lt;&gt;"",(B40-B39)/B39,"")</f>
        <v/>
      </c>
      <c r="D40" s="38" t="str">
        <f aca="false">IF(B40&lt;&gt;"",IF(B40&lt;B39,"COMPRESSING - pressure signal","Extending or stable"),"")</f>
        <v/>
      </c>
      <c r="E40" s="74"/>
      <c r="F40" s="38"/>
    </row>
    <row r="42" customFormat="false" ht="21.75" hidden="false" customHeight="true" outlineLevel="0" collapsed="false">
      <c r="A42" s="60" t="s">
        <v>439</v>
      </c>
      <c r="B42" s="60"/>
      <c r="C42" s="60"/>
      <c r="D42" s="60"/>
      <c r="E42" s="60"/>
      <c r="F42" s="60"/>
      <c r="G42" s="60"/>
    </row>
    <row r="43" customFormat="false" ht="24" hidden="false" customHeight="true" outlineLevel="0" collapsed="false">
      <c r="A43" s="37" t="s">
        <v>440</v>
      </c>
      <c r="B43" s="37" t="s">
        <v>441</v>
      </c>
      <c r="C43" s="37" t="s">
        <v>442</v>
      </c>
      <c r="D43" s="37" t="s">
        <v>443</v>
      </c>
      <c r="E43" s="37" t="s">
        <v>444</v>
      </c>
      <c r="F43" s="37" t="s">
        <v>445</v>
      </c>
    </row>
    <row r="44" customFormat="false" ht="18" hidden="false" customHeight="true" outlineLevel="0" collapsed="false">
      <c r="A44" s="66" t="s">
        <v>446</v>
      </c>
      <c r="B44" s="66" t="s">
        <v>447</v>
      </c>
      <c r="C44" s="66" t="s">
        <v>448</v>
      </c>
      <c r="D44" s="66" t="n">
        <v>5</v>
      </c>
      <c r="E44" s="66" t="s">
        <v>449</v>
      </c>
      <c r="F44" s="71" t="s">
        <v>450</v>
      </c>
    </row>
    <row r="45" customFormat="false" ht="18" hidden="false" customHeight="true" outlineLevel="0" collapsed="false">
      <c r="A45" s="48" t="s">
        <v>451</v>
      </c>
      <c r="B45" s="66" t="s">
        <v>452</v>
      </c>
      <c r="C45" s="66" t="s">
        <v>453</v>
      </c>
      <c r="D45" s="48" t="n">
        <v>2</v>
      </c>
      <c r="E45" s="66" t="s">
        <v>449</v>
      </c>
      <c r="F45" s="71" t="s">
        <v>454</v>
      </c>
    </row>
    <row r="46" customFormat="false" ht="18" hidden="false" customHeight="true" outlineLevel="0" collapsed="false">
      <c r="A46" s="66" t="s">
        <v>455</v>
      </c>
      <c r="B46" s="66" t="s">
        <v>456</v>
      </c>
      <c r="C46" s="66" t="s">
        <v>457</v>
      </c>
      <c r="D46" s="66" t="s">
        <v>458</v>
      </c>
      <c r="E46" s="66" t="s">
        <v>457</v>
      </c>
      <c r="F46" s="71" t="s">
        <v>459</v>
      </c>
    </row>
    <row r="47" customFormat="false" ht="18" hidden="false" customHeight="true" outlineLevel="0" collapsed="false">
      <c r="A47" s="48" t="s">
        <v>460</v>
      </c>
      <c r="B47" s="66" t="s">
        <v>461</v>
      </c>
      <c r="C47" s="66" t="s">
        <v>462</v>
      </c>
      <c r="D47" s="48" t="n">
        <v>120</v>
      </c>
      <c r="E47" s="66" t="s">
        <v>449</v>
      </c>
      <c r="F47" s="71" t="s">
        <v>463</v>
      </c>
    </row>
    <row r="48" customFormat="false" ht="18" hidden="false" customHeight="true" outlineLevel="0" collapsed="false">
      <c r="A48" s="38"/>
      <c r="B48" s="38"/>
      <c r="C48" s="38"/>
      <c r="D48" s="38" t="str">
        <f aca="false">IF(AND(B48&lt;&gt;"",C48&lt;&gt;""),C48-B48,"")</f>
        <v/>
      </c>
      <c r="E48" s="38"/>
      <c r="F48" s="74"/>
    </row>
    <row r="49" customFormat="false" ht="18" hidden="false" customHeight="true" outlineLevel="0" collapsed="false">
      <c r="A49" s="42"/>
      <c r="B49" s="38"/>
      <c r="C49" s="38"/>
      <c r="D49" s="42" t="str">
        <f aca="false">IF(AND(B49&lt;&gt;"",C49&lt;&gt;""),C49-B49,"")</f>
        <v/>
      </c>
      <c r="E49" s="38"/>
      <c r="F49" s="74"/>
    </row>
    <row r="50" customFormat="false" ht="18" hidden="false" customHeight="true" outlineLevel="0" collapsed="false">
      <c r="A50" s="38"/>
      <c r="B50" s="38"/>
      <c r="C50" s="38"/>
      <c r="D50" s="38" t="str">
        <f aca="false">IF(AND(B50&lt;&gt;"",C50&lt;&gt;""),C50-B50,"")</f>
        <v/>
      </c>
      <c r="E50" s="38"/>
      <c r="F50" s="74"/>
    </row>
    <row r="51" customFormat="false" ht="18" hidden="false" customHeight="true" outlineLevel="0" collapsed="false">
      <c r="A51" s="42"/>
      <c r="B51" s="38"/>
      <c r="C51" s="38"/>
      <c r="D51" s="42" t="str">
        <f aca="false">IF(AND(B51&lt;&gt;"",C51&lt;&gt;""),C51-B51,"")</f>
        <v/>
      </c>
      <c r="E51" s="38"/>
      <c r="F51" s="74"/>
    </row>
    <row r="52" customFormat="false" ht="18" hidden="false" customHeight="true" outlineLevel="0" collapsed="false">
      <c r="A52" s="38"/>
      <c r="B52" s="38"/>
      <c r="C52" s="38"/>
      <c r="D52" s="38" t="str">
        <f aca="false">IF(AND(B52&lt;&gt;"",C52&lt;&gt;""),C52-B52,"")</f>
        <v/>
      </c>
      <c r="E52" s="38"/>
      <c r="F52" s="74"/>
    </row>
    <row r="53" customFormat="false" ht="18" hidden="false" customHeight="true" outlineLevel="0" collapsed="false">
      <c r="A53" s="42"/>
      <c r="B53" s="38"/>
      <c r="C53" s="38"/>
      <c r="D53" s="42" t="str">
        <f aca="false">IF(AND(B53&lt;&gt;"",C53&lt;&gt;""),C53-B53,"")</f>
        <v/>
      </c>
      <c r="E53" s="38"/>
      <c r="F53" s="74"/>
    </row>
    <row r="54" customFormat="false" ht="18" hidden="false" customHeight="true" outlineLevel="0" collapsed="false">
      <c r="A54" s="38"/>
      <c r="B54" s="38"/>
      <c r="C54" s="38"/>
      <c r="D54" s="38" t="str">
        <f aca="false">IF(AND(B54&lt;&gt;"",C54&lt;&gt;""),C54-B54,"")</f>
        <v/>
      </c>
      <c r="E54" s="38"/>
      <c r="F54" s="74"/>
    </row>
    <row r="55" customFormat="false" ht="18" hidden="false" customHeight="true" outlineLevel="0" collapsed="false">
      <c r="A55" s="42"/>
      <c r="B55" s="38"/>
      <c r="C55" s="38"/>
      <c r="D55" s="42" t="str">
        <f aca="false">IF(AND(B55&lt;&gt;"",C55&lt;&gt;""),C55-B55,"")</f>
        <v/>
      </c>
      <c r="E55" s="38"/>
      <c r="F55" s="74"/>
    </row>
    <row r="56" customFormat="false" ht="18" hidden="false" customHeight="true" outlineLevel="0" collapsed="false">
      <c r="A56" s="38"/>
      <c r="B56" s="38"/>
      <c r="C56" s="38"/>
      <c r="D56" s="38" t="str">
        <f aca="false">IF(AND(B56&lt;&gt;"",C56&lt;&gt;""),C56-B56,"")</f>
        <v/>
      </c>
      <c r="E56" s="38"/>
      <c r="F56" s="74"/>
    </row>
    <row r="57" customFormat="false" ht="18" hidden="false" customHeight="true" outlineLevel="0" collapsed="false">
      <c r="A57" s="42"/>
      <c r="B57" s="38"/>
      <c r="C57" s="38"/>
      <c r="D57" s="42" t="str">
        <f aca="false">IF(AND(B57&lt;&gt;"",C57&lt;&gt;""),C57-B57,"")</f>
        <v/>
      </c>
      <c r="E57" s="38"/>
      <c r="F57" s="74"/>
    </row>
    <row r="58" customFormat="false" ht="18" hidden="false" customHeight="true" outlineLevel="0" collapsed="false">
      <c r="A58" s="38"/>
      <c r="B58" s="38"/>
      <c r="C58" s="38"/>
      <c r="D58" s="38" t="str">
        <f aca="false">IF(AND(B58&lt;&gt;"",C58&lt;&gt;""),C58-B58,"")</f>
        <v/>
      </c>
      <c r="E58" s="38"/>
      <c r="F58" s="74"/>
    </row>
    <row r="59" customFormat="false" ht="18" hidden="false" customHeight="true" outlineLevel="0" collapsed="false">
      <c r="A59" s="42"/>
      <c r="B59" s="38"/>
      <c r="C59" s="38"/>
      <c r="D59" s="42" t="str">
        <f aca="false">IF(AND(B59&lt;&gt;"",C59&lt;&gt;""),C59-B59,"")</f>
        <v/>
      </c>
      <c r="E59" s="38"/>
      <c r="F59" s="74"/>
    </row>
  </sheetData>
  <mergeCells count="5">
    <mergeCell ref="A1:G1"/>
    <mergeCell ref="A2:G2"/>
    <mergeCell ref="A4:G4"/>
    <mergeCell ref="A23:G23"/>
    <mergeCell ref="A42:G42"/>
  </mergeCells>
  <dataValidations count="1">
    <dataValidation allowBlank="true" errorStyle="stop" operator="between" showDropDown="false" showErrorMessage="false" showInputMessage="false" sqref="E44:E59" type="list">
      <formula1>"Same brand,New brand,No relaunch confirmed,Partial relaunch"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L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16"/>
    <col collapsed="false" customWidth="true" hidden="false" outlineLevel="0" max="5" min="4" style="0" width="14"/>
    <col collapsed="false" customWidth="true" hidden="false" outlineLevel="0" max="11" min="6" style="0" width="16"/>
    <col collapsed="false" customWidth="true" hidden="false" outlineLevel="0" max="12" min="12" style="0" width="20"/>
  </cols>
  <sheetData>
    <row r="1" customFormat="false" ht="36" hidden="false" customHeight="true" outlineLevel="0" collapsed="false">
      <c r="A1" s="1" t="s">
        <v>464</v>
      </c>
      <c r="B1" s="1"/>
      <c r="C1" s="1"/>
      <c r="D1" s="1"/>
      <c r="E1" s="1"/>
      <c r="F1" s="1"/>
      <c r="G1" s="1"/>
      <c r="H1" s="1"/>
      <c r="I1" s="1"/>
      <c r="J1" s="1"/>
      <c r="K1" s="1"/>
      <c r="L1" s="1"/>
    </row>
    <row r="2" customFormat="false" ht="18" hidden="false" customHeight="true" outlineLevel="0" collapsed="false">
      <c r="A2" s="2" t="s">
        <v>465</v>
      </c>
      <c r="B2" s="2"/>
      <c r="C2" s="2"/>
      <c r="D2" s="2"/>
      <c r="E2" s="2"/>
      <c r="F2" s="2"/>
      <c r="G2" s="2"/>
      <c r="H2" s="2"/>
      <c r="I2" s="2"/>
      <c r="J2" s="2"/>
      <c r="K2" s="2"/>
      <c r="L2" s="2"/>
    </row>
    <row r="3" customFormat="false" ht="15" hidden="false" customHeight="true" outlineLevel="0" collapsed="false">
      <c r="A3" s="36" t="s">
        <v>466</v>
      </c>
      <c r="B3" s="36"/>
      <c r="C3" s="36"/>
      <c r="D3" s="36"/>
      <c r="E3" s="36"/>
      <c r="F3" s="36"/>
      <c r="G3" s="36"/>
      <c r="H3" s="36"/>
      <c r="I3" s="36"/>
      <c r="J3" s="36"/>
      <c r="K3" s="36"/>
      <c r="L3" s="36"/>
    </row>
    <row r="5" customFormat="false" ht="36" hidden="false" customHeight="true" outlineLevel="0" collapsed="false">
      <c r="A5" s="37" t="s">
        <v>467</v>
      </c>
      <c r="B5" s="37" t="s">
        <v>67</v>
      </c>
      <c r="C5" s="37" t="s">
        <v>468</v>
      </c>
      <c r="D5" s="37" t="s">
        <v>469</v>
      </c>
      <c r="E5" s="37" t="s">
        <v>470</v>
      </c>
      <c r="F5" s="37" t="s">
        <v>471</v>
      </c>
      <c r="G5" s="37" t="s">
        <v>472</v>
      </c>
      <c r="H5" s="37" t="s">
        <v>473</v>
      </c>
      <c r="I5" s="37" t="s">
        <v>474</v>
      </c>
      <c r="J5" s="37" t="s">
        <v>475</v>
      </c>
      <c r="K5" s="37" t="s">
        <v>476</v>
      </c>
      <c r="L5" s="37" t="s">
        <v>477</v>
      </c>
    </row>
    <row r="6" customFormat="false" ht="24" hidden="false" customHeight="true" outlineLevel="0" collapsed="false">
      <c r="A6" s="75" t="s">
        <v>455</v>
      </c>
      <c r="B6" s="76" t="s">
        <v>478</v>
      </c>
      <c r="C6" s="76" t="s">
        <v>418</v>
      </c>
      <c r="D6" s="76" t="s">
        <v>479</v>
      </c>
      <c r="E6" s="76" t="s">
        <v>480</v>
      </c>
      <c r="F6" s="76" t="s">
        <v>481</v>
      </c>
      <c r="G6" s="76" t="s">
        <v>482</v>
      </c>
      <c r="H6" s="76" t="s">
        <v>482</v>
      </c>
      <c r="I6" s="76" t="s">
        <v>483</v>
      </c>
      <c r="J6" s="76" t="s">
        <v>484</v>
      </c>
      <c r="K6" s="76" t="s">
        <v>485</v>
      </c>
      <c r="L6" s="77"/>
    </row>
    <row r="7" customFormat="false" ht="24" hidden="false" customHeight="true" outlineLevel="0" collapsed="false">
      <c r="A7" s="78" t="s">
        <v>486</v>
      </c>
      <c r="B7" s="78" t="s">
        <v>487</v>
      </c>
      <c r="C7" s="78" t="s">
        <v>416</v>
      </c>
      <c r="D7" s="78" t="s">
        <v>488</v>
      </c>
      <c r="E7" s="78" t="s">
        <v>489</v>
      </c>
      <c r="F7" s="78" t="s">
        <v>490</v>
      </c>
      <c r="G7" s="78" t="s">
        <v>491</v>
      </c>
      <c r="H7" s="78" t="s">
        <v>481</v>
      </c>
      <c r="I7" s="78" t="s">
        <v>492</v>
      </c>
      <c r="J7" s="78" t="s">
        <v>484</v>
      </c>
      <c r="K7" s="78" t="s">
        <v>485</v>
      </c>
      <c r="L7" s="42"/>
    </row>
    <row r="8" customFormat="false" ht="24" hidden="false" customHeight="true" outlineLevel="0" collapsed="false">
      <c r="A8" s="79" t="s">
        <v>493</v>
      </c>
      <c r="B8" s="79" t="s">
        <v>487</v>
      </c>
      <c r="C8" s="79" t="s">
        <v>416</v>
      </c>
      <c r="D8" s="79" t="s">
        <v>494</v>
      </c>
      <c r="E8" s="79" t="s">
        <v>489</v>
      </c>
      <c r="F8" s="79" t="s">
        <v>490</v>
      </c>
      <c r="G8" s="79" t="s">
        <v>495</v>
      </c>
      <c r="H8" s="79" t="s">
        <v>481</v>
      </c>
      <c r="I8" s="79" t="s">
        <v>492</v>
      </c>
      <c r="J8" s="79" t="s">
        <v>484</v>
      </c>
      <c r="K8" s="79" t="s">
        <v>485</v>
      </c>
      <c r="L8" s="38"/>
    </row>
    <row r="9" customFormat="false" ht="24" hidden="false" customHeight="true" outlineLevel="0" collapsed="false">
      <c r="A9" s="78" t="s">
        <v>496</v>
      </c>
      <c r="B9" s="78" t="s">
        <v>497</v>
      </c>
      <c r="C9" s="78" t="s">
        <v>498</v>
      </c>
      <c r="D9" s="78" t="s">
        <v>499</v>
      </c>
      <c r="E9" s="78" t="s">
        <v>500</v>
      </c>
      <c r="F9" s="78" t="s">
        <v>501</v>
      </c>
      <c r="G9" s="78" t="s">
        <v>502</v>
      </c>
      <c r="H9" s="78" t="s">
        <v>503</v>
      </c>
      <c r="I9" s="78" t="s">
        <v>492</v>
      </c>
      <c r="J9" s="78" t="s">
        <v>8</v>
      </c>
      <c r="K9" s="78" t="s">
        <v>485</v>
      </c>
      <c r="L9" s="42"/>
    </row>
    <row r="10" customFormat="false" ht="24" hidden="false" customHeight="true" outlineLevel="0" collapsed="false">
      <c r="A10" s="79" t="s">
        <v>504</v>
      </c>
      <c r="B10" s="79" t="s">
        <v>487</v>
      </c>
      <c r="C10" s="79" t="s">
        <v>419</v>
      </c>
      <c r="D10" s="79" t="s">
        <v>505</v>
      </c>
      <c r="E10" s="79" t="s">
        <v>489</v>
      </c>
      <c r="F10" s="79" t="s">
        <v>490</v>
      </c>
      <c r="G10" s="79" t="s">
        <v>506</v>
      </c>
      <c r="H10" s="79" t="s">
        <v>481</v>
      </c>
      <c r="I10" s="79" t="s">
        <v>507</v>
      </c>
      <c r="J10" s="79" t="s">
        <v>484</v>
      </c>
      <c r="K10" s="79" t="s">
        <v>485</v>
      </c>
      <c r="L10" s="38"/>
    </row>
    <row r="11" customFormat="false" ht="24" hidden="false" customHeight="true" outlineLevel="0" collapsed="false">
      <c r="A11" s="78" t="s">
        <v>508</v>
      </c>
      <c r="B11" s="78" t="s">
        <v>509</v>
      </c>
      <c r="C11" s="78" t="s">
        <v>416</v>
      </c>
      <c r="D11" s="78" t="s">
        <v>510</v>
      </c>
      <c r="E11" s="78" t="s">
        <v>481</v>
      </c>
      <c r="F11" s="78" t="s">
        <v>511</v>
      </c>
      <c r="G11" s="78" t="s">
        <v>510</v>
      </c>
      <c r="H11" s="78" t="s">
        <v>481</v>
      </c>
      <c r="I11" s="78" t="s">
        <v>492</v>
      </c>
      <c r="J11" s="78" t="s">
        <v>8</v>
      </c>
      <c r="K11" s="78" t="s">
        <v>485</v>
      </c>
      <c r="L11" s="42"/>
    </row>
    <row r="12" customFormat="false" ht="24" hidden="false" customHeight="true" outlineLevel="0" collapsed="false">
      <c r="A12" s="79" t="s">
        <v>512</v>
      </c>
      <c r="B12" s="79" t="s">
        <v>487</v>
      </c>
      <c r="C12" s="79" t="s">
        <v>416</v>
      </c>
      <c r="D12" s="79" t="s">
        <v>494</v>
      </c>
      <c r="E12" s="79" t="s">
        <v>489</v>
      </c>
      <c r="F12" s="79" t="s">
        <v>490</v>
      </c>
      <c r="G12" s="79" t="s">
        <v>513</v>
      </c>
      <c r="H12" s="79" t="s">
        <v>481</v>
      </c>
      <c r="I12" s="79" t="s">
        <v>507</v>
      </c>
      <c r="J12" s="79" t="s">
        <v>484</v>
      </c>
      <c r="K12" s="79" t="s">
        <v>485</v>
      </c>
      <c r="L12" s="38"/>
    </row>
    <row r="13" customFormat="false" ht="24" hidden="false" customHeight="true" outlineLevel="0" collapsed="false">
      <c r="A13" s="42"/>
      <c r="B13" s="42"/>
      <c r="C13" s="42"/>
      <c r="D13" s="42"/>
      <c r="E13" s="42"/>
      <c r="F13" s="42"/>
      <c r="G13" s="42"/>
      <c r="H13" s="42"/>
      <c r="I13" s="42"/>
      <c r="J13" s="42"/>
      <c r="K13" s="42"/>
      <c r="L13" s="42"/>
    </row>
    <row r="14" customFormat="false" ht="24" hidden="false" customHeight="true" outlineLevel="0" collapsed="false">
      <c r="A14" s="38"/>
      <c r="B14" s="38"/>
      <c r="C14" s="38"/>
      <c r="D14" s="38"/>
      <c r="E14" s="38"/>
      <c r="F14" s="38"/>
      <c r="G14" s="38"/>
      <c r="H14" s="38"/>
      <c r="I14" s="38"/>
      <c r="J14" s="38"/>
      <c r="K14" s="38"/>
      <c r="L14" s="38"/>
    </row>
    <row r="15" customFormat="false" ht="24" hidden="false" customHeight="true" outlineLevel="0" collapsed="false">
      <c r="A15" s="42"/>
      <c r="B15" s="42"/>
      <c r="C15" s="42"/>
      <c r="D15" s="42"/>
      <c r="E15" s="42"/>
      <c r="F15" s="42"/>
      <c r="G15" s="42"/>
      <c r="H15" s="42"/>
      <c r="I15" s="42"/>
      <c r="J15" s="42"/>
      <c r="K15" s="42"/>
      <c r="L15" s="42"/>
    </row>
    <row r="16" customFormat="false" ht="24" hidden="false" customHeight="true" outlineLevel="0" collapsed="false">
      <c r="A16" s="38"/>
      <c r="B16" s="38"/>
      <c r="C16" s="38"/>
      <c r="D16" s="38"/>
      <c r="E16" s="38"/>
      <c r="F16" s="38"/>
      <c r="G16" s="38"/>
      <c r="H16" s="38"/>
      <c r="I16" s="38"/>
      <c r="J16" s="38"/>
      <c r="K16" s="38"/>
      <c r="L16" s="38"/>
    </row>
    <row r="17" customFormat="false" ht="24" hidden="false" customHeight="true" outlineLevel="0" collapsed="false">
      <c r="A17" s="42"/>
      <c r="B17" s="42"/>
      <c r="C17" s="42"/>
      <c r="D17" s="42"/>
      <c r="E17" s="42"/>
      <c r="F17" s="42"/>
      <c r="G17" s="42"/>
      <c r="H17" s="42"/>
      <c r="I17" s="42"/>
      <c r="J17" s="42"/>
      <c r="K17" s="42"/>
      <c r="L17" s="42"/>
    </row>
    <row r="18" customFormat="false" ht="24" hidden="false" customHeight="true" outlineLevel="0" collapsed="false">
      <c r="A18" s="38"/>
      <c r="B18" s="38"/>
      <c r="C18" s="38"/>
      <c r="D18" s="38"/>
      <c r="E18" s="38"/>
      <c r="F18" s="38"/>
      <c r="G18" s="38"/>
      <c r="H18" s="38"/>
      <c r="I18" s="38"/>
      <c r="J18" s="38"/>
      <c r="K18" s="38"/>
      <c r="L18" s="38"/>
    </row>
    <row r="19" customFormat="false" ht="24" hidden="false" customHeight="true" outlineLevel="0" collapsed="false">
      <c r="A19" s="42"/>
      <c r="B19" s="42"/>
      <c r="C19" s="42"/>
      <c r="D19" s="42"/>
      <c r="E19" s="42"/>
      <c r="F19" s="42"/>
      <c r="G19" s="42"/>
      <c r="H19" s="42"/>
      <c r="I19" s="42"/>
      <c r="J19" s="42"/>
      <c r="K19" s="42"/>
      <c r="L19" s="42"/>
    </row>
    <row r="20" customFormat="false" ht="24" hidden="false" customHeight="true" outlineLevel="0" collapsed="false">
      <c r="A20" s="38"/>
      <c r="B20" s="38"/>
      <c r="C20" s="38"/>
      <c r="D20" s="38"/>
      <c r="E20" s="38"/>
      <c r="F20" s="38"/>
      <c r="G20" s="38"/>
      <c r="H20" s="38"/>
      <c r="I20" s="38"/>
      <c r="J20" s="38"/>
      <c r="K20" s="38"/>
      <c r="L20" s="38"/>
    </row>
    <row r="21" customFormat="false" ht="24" hidden="false" customHeight="true" outlineLevel="0" collapsed="false">
      <c r="A21" s="42"/>
      <c r="B21" s="42"/>
      <c r="C21" s="42"/>
      <c r="D21" s="42"/>
      <c r="E21" s="42"/>
      <c r="F21" s="42"/>
      <c r="G21" s="42"/>
      <c r="H21" s="42"/>
      <c r="I21" s="42"/>
      <c r="J21" s="42"/>
      <c r="K21" s="42"/>
      <c r="L21" s="42"/>
    </row>
    <row r="22" customFormat="false" ht="24" hidden="false" customHeight="true" outlineLevel="0" collapsed="false">
      <c r="A22" s="38"/>
      <c r="B22" s="38"/>
      <c r="C22" s="38"/>
      <c r="D22" s="38"/>
      <c r="E22" s="38"/>
      <c r="F22" s="38"/>
      <c r="G22" s="38"/>
      <c r="H22" s="38"/>
      <c r="I22" s="38"/>
      <c r="J22" s="38"/>
      <c r="K22" s="38"/>
      <c r="L22" s="38"/>
    </row>
    <row r="23" customFormat="false" ht="24" hidden="false" customHeight="true" outlineLevel="0" collapsed="false">
      <c r="A23" s="42"/>
      <c r="B23" s="42"/>
      <c r="C23" s="42"/>
      <c r="D23" s="42"/>
      <c r="E23" s="42"/>
      <c r="F23" s="42"/>
      <c r="G23" s="42"/>
      <c r="H23" s="42"/>
      <c r="I23" s="42"/>
      <c r="J23" s="42"/>
      <c r="K23" s="42"/>
      <c r="L23" s="42"/>
    </row>
    <row r="24" customFormat="false" ht="24" hidden="false" customHeight="true" outlineLevel="0" collapsed="false">
      <c r="A24" s="38"/>
      <c r="B24" s="38"/>
      <c r="C24" s="38"/>
      <c r="D24" s="38"/>
      <c r="E24" s="38"/>
      <c r="F24" s="38"/>
      <c r="G24" s="38"/>
      <c r="H24" s="38"/>
      <c r="I24" s="38"/>
      <c r="J24" s="38"/>
      <c r="K24" s="38"/>
      <c r="L24" s="38"/>
    </row>
    <row r="25" customFormat="false" ht="24" hidden="false" customHeight="true" outlineLevel="0" collapsed="false">
      <c r="A25" s="42"/>
      <c r="B25" s="42"/>
      <c r="C25" s="42"/>
      <c r="D25" s="42"/>
      <c r="E25" s="42"/>
      <c r="F25" s="42"/>
      <c r="G25" s="42"/>
      <c r="H25" s="42"/>
      <c r="I25" s="42"/>
      <c r="J25" s="42"/>
      <c r="K25" s="42"/>
      <c r="L25" s="42"/>
    </row>
    <row r="27" customFormat="false" ht="15" hidden="false" customHeight="true" outlineLevel="0" collapsed="false">
      <c r="A27" s="80" t="s">
        <v>514</v>
      </c>
      <c r="B27" s="80"/>
      <c r="C27" s="80"/>
      <c r="D27" s="80"/>
      <c r="E27" s="80"/>
      <c r="F27" s="80"/>
      <c r="G27" s="80"/>
      <c r="H27" s="80"/>
      <c r="I27" s="80"/>
      <c r="J27" s="80"/>
      <c r="K27" s="80"/>
      <c r="L27" s="80"/>
    </row>
  </sheetData>
  <mergeCells count="4">
    <mergeCell ref="A1:L1"/>
    <mergeCell ref="A2:L2"/>
    <mergeCell ref="A3:L3"/>
    <mergeCell ref="A27:L27"/>
  </mergeCells>
  <dataValidations count="4">
    <dataValidation allowBlank="true" errorStyle="stop" operator="between" showDropDown="false" showErrorMessage="false" showInputMessage="false" sqref="B6:B25" type="list">
      <formula1>"Fully Operational,Degraded,Significantly Degraded,Inactive,Dissolved"</formula1>
      <formula2>0</formula2>
    </dataValidation>
    <dataValidation allowBlank="true" errorStyle="stop" operator="between" showDropDown="false" showErrorMessage="false" showInputMessage="false" sqref="E6:E25" type="list">
      <formula1>"Intact,Partially Disrupted,Significantly Disrupted,Unknown"</formula1>
      <formula2>0</formula2>
    </dataValidation>
    <dataValidation allowBlank="true" errorStyle="stop" operator="between" showDropDown="false" showErrorMessage="false" showInputMessage="false" sqref="F6:F25" type="list">
      <formula1>"Active,Strained,Broken,Unknown,None Assessed"</formula1>
      <formula2>0</formula2>
    </dataValidation>
    <dataValidation allowBlank="true" errorStyle="stop" operator="between" showDropDown="false" showErrorMessage="false" showInputMessage="false" sqref="I6:I25" type="list">
      <formula1>"Low,Medium,High,Unknown"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customHeight="false"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16"/>
    <col collapsed="false" customWidth="true" hidden="false" outlineLevel="0" max="5" min="4" style="0" width="18"/>
    <col collapsed="false" customWidth="true" hidden="false" outlineLevel="0" max="7" min="6" style="0" width="30"/>
    <col collapsed="false" customWidth="true" hidden="false" outlineLevel="0" max="8" min="8" style="0" width="16"/>
    <col collapsed="false" customWidth="true" hidden="false" outlineLevel="0" max="9" min="9" style="0" width="30"/>
    <col collapsed="false" customWidth="true" hidden="false" outlineLevel="0" max="11" min="10" style="0" width="18"/>
    <col collapsed="false" customWidth="true" hidden="false" outlineLevel="0" max="13" min="12" style="0" width="22"/>
    <col collapsed="false" customWidth="true" hidden="false" outlineLevel="0" max="14" min="14" style="0" width="18"/>
  </cols>
  <sheetData>
    <row r="1" customFormat="false" ht="36" hidden="false" customHeight="true" outlineLevel="0" collapsed="false">
      <c r="A1" s="1" t="s">
        <v>515</v>
      </c>
      <c r="B1" s="1"/>
      <c r="C1" s="1"/>
      <c r="D1" s="1"/>
      <c r="E1" s="1"/>
      <c r="F1" s="1"/>
      <c r="G1" s="1"/>
      <c r="H1" s="1"/>
      <c r="I1" s="1"/>
      <c r="J1" s="1"/>
      <c r="K1" s="1"/>
      <c r="L1" s="1"/>
      <c r="M1" s="1"/>
      <c r="N1" s="1"/>
    </row>
    <row r="2" customFormat="false" ht="18" hidden="false" customHeight="true" outlineLevel="0" collapsed="false">
      <c r="A2" s="2" t="s">
        <v>516</v>
      </c>
      <c r="B2" s="2"/>
      <c r="C2" s="2"/>
      <c r="D2" s="2"/>
      <c r="E2" s="2"/>
      <c r="F2" s="2"/>
      <c r="G2" s="2"/>
      <c r="H2" s="2"/>
      <c r="I2" s="2"/>
      <c r="J2" s="2"/>
      <c r="K2" s="2"/>
      <c r="L2" s="2"/>
      <c r="M2" s="2"/>
      <c r="N2" s="2"/>
    </row>
    <row r="3" customFormat="false" ht="15" hidden="false" customHeight="true" outlineLevel="0" collapsed="false">
      <c r="A3" s="36" t="s">
        <v>517</v>
      </c>
      <c r="B3" s="36"/>
      <c r="C3" s="36"/>
      <c r="D3" s="36"/>
      <c r="E3" s="36"/>
      <c r="F3" s="36"/>
      <c r="G3" s="36"/>
      <c r="H3" s="36"/>
      <c r="I3" s="36"/>
      <c r="J3" s="36"/>
      <c r="K3" s="36"/>
      <c r="L3" s="36"/>
      <c r="M3" s="36"/>
      <c r="N3" s="36"/>
    </row>
    <row r="5" customFormat="false" ht="36" hidden="false" customHeight="true" outlineLevel="0" collapsed="false">
      <c r="A5" s="37" t="s">
        <v>229</v>
      </c>
      <c r="B5" s="37" t="s">
        <v>230</v>
      </c>
      <c r="C5" s="37" t="s">
        <v>518</v>
      </c>
      <c r="D5" s="37" t="s">
        <v>519</v>
      </c>
      <c r="E5" s="37" t="s">
        <v>520</v>
      </c>
      <c r="F5" s="37" t="s">
        <v>521</v>
      </c>
      <c r="G5" s="37" t="s">
        <v>522</v>
      </c>
      <c r="H5" s="37" t="s">
        <v>523</v>
      </c>
      <c r="I5" s="37" t="s">
        <v>524</v>
      </c>
      <c r="J5" s="37" t="s">
        <v>525</v>
      </c>
      <c r="K5" s="37" t="s">
        <v>526</v>
      </c>
      <c r="L5" s="37" t="s">
        <v>527</v>
      </c>
      <c r="M5" s="37" t="s">
        <v>528</v>
      </c>
      <c r="N5" s="37" t="s">
        <v>529</v>
      </c>
    </row>
    <row r="6" customFormat="false" ht="48" hidden="false" customHeight="true" outlineLevel="0" collapsed="false">
      <c r="A6" s="81"/>
      <c r="B6" s="81"/>
      <c r="C6" s="81"/>
      <c r="D6" s="81"/>
      <c r="E6" s="81"/>
      <c r="F6" s="81"/>
      <c r="G6" s="81"/>
      <c r="H6" s="81"/>
      <c r="I6" s="81"/>
      <c r="J6" s="81"/>
      <c r="K6" s="81"/>
      <c r="L6" s="81"/>
      <c r="M6" s="81"/>
      <c r="N6" s="81"/>
    </row>
    <row r="7" customFormat="false" ht="48" hidden="false" customHeight="true" outlineLevel="0" collapsed="false">
      <c r="A7" s="82"/>
      <c r="B7" s="82"/>
      <c r="C7" s="82"/>
      <c r="D7" s="82"/>
      <c r="E7" s="82"/>
      <c r="F7" s="82"/>
      <c r="G7" s="82"/>
      <c r="H7" s="82"/>
      <c r="I7" s="82"/>
      <c r="J7" s="82"/>
      <c r="K7" s="82"/>
      <c r="L7" s="82"/>
      <c r="M7" s="82"/>
      <c r="N7" s="82"/>
    </row>
    <row r="8" customFormat="false" ht="48" hidden="false" customHeight="true" outlineLevel="0" collapsed="false">
      <c r="A8" s="81"/>
      <c r="B8" s="81"/>
      <c r="C8" s="81"/>
      <c r="D8" s="81"/>
      <c r="E8" s="81"/>
      <c r="F8" s="81"/>
      <c r="G8" s="81"/>
      <c r="H8" s="81"/>
      <c r="I8" s="81"/>
      <c r="J8" s="81"/>
      <c r="K8" s="81"/>
      <c r="L8" s="81"/>
      <c r="M8" s="81"/>
      <c r="N8" s="81"/>
    </row>
    <row r="9" customFormat="false" ht="48" hidden="false" customHeight="true" outlineLevel="0" collapsed="false">
      <c r="A9" s="82"/>
      <c r="B9" s="82"/>
      <c r="C9" s="82"/>
      <c r="D9" s="82"/>
      <c r="E9" s="82"/>
      <c r="F9" s="82"/>
      <c r="G9" s="82"/>
      <c r="H9" s="82"/>
      <c r="I9" s="82"/>
      <c r="J9" s="82"/>
      <c r="K9" s="82"/>
      <c r="L9" s="82"/>
      <c r="M9" s="82"/>
      <c r="N9" s="82"/>
    </row>
    <row r="10" customFormat="false" ht="48" hidden="false" customHeight="true" outlineLevel="0" collapsed="false">
      <c r="A10" s="81"/>
      <c r="B10" s="81"/>
      <c r="C10" s="81"/>
      <c r="D10" s="81"/>
      <c r="E10" s="81"/>
      <c r="F10" s="81"/>
      <c r="G10" s="81"/>
      <c r="H10" s="81"/>
      <c r="I10" s="81"/>
      <c r="J10" s="81"/>
      <c r="K10" s="81"/>
      <c r="L10" s="81"/>
      <c r="M10" s="81"/>
      <c r="N10" s="81"/>
    </row>
    <row r="11" customFormat="false" ht="48" hidden="false" customHeight="true" outlineLevel="0" collapsed="false">
      <c r="A11" s="82"/>
      <c r="B11" s="82"/>
      <c r="C11" s="82"/>
      <c r="D11" s="82"/>
      <c r="E11" s="82"/>
      <c r="F11" s="82"/>
      <c r="G11" s="82"/>
      <c r="H11" s="82"/>
      <c r="I11" s="82"/>
      <c r="J11" s="82"/>
      <c r="K11" s="82"/>
      <c r="L11" s="82"/>
      <c r="M11" s="82"/>
      <c r="N11" s="82"/>
    </row>
    <row r="12" customFormat="false" ht="48" hidden="false" customHeight="true" outlineLevel="0" collapsed="false">
      <c r="A12" s="81"/>
      <c r="B12" s="81"/>
      <c r="C12" s="81"/>
      <c r="D12" s="81"/>
      <c r="E12" s="81"/>
      <c r="F12" s="81"/>
      <c r="G12" s="81"/>
      <c r="H12" s="81"/>
      <c r="I12" s="81"/>
      <c r="J12" s="81"/>
      <c r="K12" s="81"/>
      <c r="L12" s="81"/>
      <c r="M12" s="81"/>
      <c r="N12" s="81"/>
    </row>
    <row r="13" customFormat="false" ht="48" hidden="false" customHeight="true" outlineLevel="0" collapsed="false">
      <c r="A13" s="82"/>
      <c r="B13" s="82"/>
      <c r="C13" s="82"/>
      <c r="D13" s="82"/>
      <c r="E13" s="82"/>
      <c r="F13" s="82"/>
      <c r="G13" s="82"/>
      <c r="H13" s="82"/>
      <c r="I13" s="82"/>
      <c r="J13" s="82"/>
      <c r="K13" s="82"/>
      <c r="L13" s="82"/>
      <c r="M13" s="82"/>
      <c r="N13" s="82"/>
    </row>
    <row r="14" customFormat="false" ht="48" hidden="false" customHeight="true" outlineLevel="0" collapsed="false">
      <c r="A14" s="81"/>
      <c r="B14" s="81"/>
      <c r="C14" s="81"/>
      <c r="D14" s="81"/>
      <c r="E14" s="81"/>
      <c r="F14" s="81"/>
      <c r="G14" s="81"/>
      <c r="H14" s="81"/>
      <c r="I14" s="81"/>
      <c r="J14" s="81"/>
      <c r="K14" s="81"/>
      <c r="L14" s="81"/>
      <c r="M14" s="81"/>
      <c r="N14" s="81"/>
    </row>
    <row r="15" customFormat="false" ht="48" hidden="false" customHeight="true" outlineLevel="0" collapsed="false">
      <c r="A15" s="82"/>
      <c r="B15" s="82"/>
      <c r="C15" s="82"/>
      <c r="D15" s="82"/>
      <c r="E15" s="82"/>
      <c r="F15" s="82"/>
      <c r="G15" s="82"/>
      <c r="H15" s="82"/>
      <c r="I15" s="82"/>
      <c r="J15" s="82"/>
      <c r="K15" s="82"/>
      <c r="L15" s="82"/>
      <c r="M15" s="82"/>
      <c r="N15" s="82"/>
    </row>
    <row r="16" customFormat="false" ht="48" hidden="false" customHeight="true" outlineLevel="0" collapsed="false">
      <c r="A16" s="81"/>
      <c r="B16" s="81"/>
      <c r="C16" s="81"/>
      <c r="D16" s="81"/>
      <c r="E16" s="81"/>
      <c r="F16" s="81"/>
      <c r="G16" s="81"/>
      <c r="H16" s="81"/>
      <c r="I16" s="81"/>
      <c r="J16" s="81"/>
      <c r="K16" s="81"/>
      <c r="L16" s="81"/>
      <c r="M16" s="81"/>
      <c r="N16" s="81"/>
    </row>
    <row r="17" customFormat="false" ht="48" hidden="false" customHeight="true" outlineLevel="0" collapsed="false">
      <c r="A17" s="82"/>
      <c r="B17" s="82"/>
      <c r="C17" s="82"/>
      <c r="D17" s="82"/>
      <c r="E17" s="82"/>
      <c r="F17" s="82"/>
      <c r="G17" s="82"/>
      <c r="H17" s="82"/>
      <c r="I17" s="82"/>
      <c r="J17" s="82"/>
      <c r="K17" s="82"/>
      <c r="L17" s="82"/>
      <c r="M17" s="82"/>
      <c r="N17" s="82"/>
    </row>
    <row r="18" customFormat="false" ht="48" hidden="false" customHeight="true" outlineLevel="0" collapsed="false">
      <c r="A18" s="81"/>
      <c r="B18" s="81"/>
      <c r="C18" s="81"/>
      <c r="D18" s="81"/>
      <c r="E18" s="81"/>
      <c r="F18" s="81"/>
      <c r="G18" s="81"/>
      <c r="H18" s="81"/>
      <c r="I18" s="81"/>
      <c r="J18" s="81"/>
      <c r="K18" s="81"/>
      <c r="L18" s="81"/>
      <c r="M18" s="81"/>
      <c r="N18" s="81"/>
    </row>
    <row r="19" customFormat="false" ht="48" hidden="false" customHeight="true" outlineLevel="0" collapsed="false">
      <c r="A19" s="82"/>
      <c r="B19" s="82"/>
      <c r="C19" s="82"/>
      <c r="D19" s="82"/>
      <c r="E19" s="82"/>
      <c r="F19" s="82"/>
      <c r="G19" s="82"/>
      <c r="H19" s="82"/>
      <c r="I19" s="82"/>
      <c r="J19" s="82"/>
      <c r="K19" s="82"/>
      <c r="L19" s="82"/>
      <c r="M19" s="82"/>
      <c r="N19" s="82"/>
    </row>
    <row r="20" customFormat="false" ht="48" hidden="false" customHeight="true" outlineLevel="0" collapsed="false">
      <c r="A20" s="81"/>
      <c r="B20" s="81"/>
      <c r="C20" s="81"/>
      <c r="D20" s="81"/>
      <c r="E20" s="81"/>
      <c r="F20" s="81"/>
      <c r="G20" s="81"/>
      <c r="H20" s="81"/>
      <c r="I20" s="81"/>
      <c r="J20" s="81"/>
      <c r="K20" s="81"/>
      <c r="L20" s="81"/>
      <c r="M20" s="81"/>
      <c r="N20" s="81"/>
    </row>
    <row r="21" customFormat="false" ht="48" hidden="false" customHeight="true" outlineLevel="0" collapsed="false">
      <c r="A21" s="82"/>
      <c r="B21" s="82"/>
      <c r="C21" s="82"/>
      <c r="D21" s="82"/>
      <c r="E21" s="82"/>
      <c r="F21" s="82"/>
      <c r="G21" s="82"/>
      <c r="H21" s="82"/>
      <c r="I21" s="82"/>
      <c r="J21" s="82"/>
      <c r="K21" s="82"/>
      <c r="L21" s="82"/>
      <c r="M21" s="82"/>
      <c r="N21" s="82"/>
    </row>
    <row r="22" customFormat="false" ht="48" hidden="false" customHeight="true" outlineLevel="0" collapsed="false">
      <c r="A22" s="81"/>
      <c r="B22" s="81"/>
      <c r="C22" s="81"/>
      <c r="D22" s="81"/>
      <c r="E22" s="81"/>
      <c r="F22" s="81"/>
      <c r="G22" s="81"/>
      <c r="H22" s="81"/>
      <c r="I22" s="81"/>
      <c r="J22" s="81"/>
      <c r="K22" s="81"/>
      <c r="L22" s="81"/>
      <c r="M22" s="81"/>
      <c r="N22" s="81"/>
    </row>
    <row r="23" customFormat="false" ht="48" hidden="false" customHeight="true" outlineLevel="0" collapsed="false">
      <c r="A23" s="82"/>
      <c r="B23" s="82"/>
      <c r="C23" s="82"/>
      <c r="D23" s="82"/>
      <c r="E23" s="82"/>
      <c r="F23" s="82"/>
      <c r="G23" s="82"/>
      <c r="H23" s="82"/>
      <c r="I23" s="82"/>
      <c r="J23" s="82"/>
      <c r="K23" s="82"/>
      <c r="L23" s="82"/>
      <c r="M23" s="82"/>
      <c r="N23" s="82"/>
    </row>
    <row r="24" customFormat="false" ht="48" hidden="false" customHeight="true" outlineLevel="0" collapsed="false">
      <c r="A24" s="81"/>
      <c r="B24" s="81"/>
      <c r="C24" s="81"/>
      <c r="D24" s="81"/>
      <c r="E24" s="81"/>
      <c r="F24" s="81"/>
      <c r="G24" s="81"/>
      <c r="H24" s="81"/>
      <c r="I24" s="81"/>
      <c r="J24" s="81"/>
      <c r="K24" s="81"/>
      <c r="L24" s="81"/>
      <c r="M24" s="81"/>
      <c r="N24" s="81"/>
    </row>
    <row r="25" customFormat="false" ht="48" hidden="false" customHeight="true" outlineLevel="0" collapsed="false">
      <c r="A25" s="82"/>
      <c r="B25" s="82"/>
      <c r="C25" s="82"/>
      <c r="D25" s="82"/>
      <c r="E25" s="82"/>
      <c r="F25" s="82"/>
      <c r="G25" s="82"/>
      <c r="H25" s="82"/>
      <c r="I25" s="82"/>
      <c r="J25" s="82"/>
      <c r="K25" s="82"/>
      <c r="L25" s="82"/>
      <c r="M25" s="82"/>
      <c r="N25" s="82"/>
    </row>
    <row r="26" customFormat="false" ht="48" hidden="false" customHeight="true" outlineLevel="0" collapsed="false">
      <c r="A26" s="81"/>
      <c r="B26" s="81"/>
      <c r="C26" s="81"/>
      <c r="D26" s="81"/>
      <c r="E26" s="81"/>
      <c r="F26" s="81"/>
      <c r="G26" s="81"/>
      <c r="H26" s="81"/>
      <c r="I26" s="81"/>
      <c r="J26" s="81"/>
      <c r="K26" s="81"/>
      <c r="L26" s="81"/>
      <c r="M26" s="81"/>
      <c r="N26" s="81"/>
    </row>
    <row r="27" customFormat="false" ht="48" hidden="false" customHeight="true" outlineLevel="0" collapsed="false">
      <c r="A27" s="82"/>
      <c r="B27" s="82"/>
      <c r="C27" s="82"/>
      <c r="D27" s="82"/>
      <c r="E27" s="82"/>
      <c r="F27" s="82"/>
      <c r="G27" s="82"/>
      <c r="H27" s="82"/>
      <c r="I27" s="82"/>
      <c r="J27" s="82"/>
      <c r="K27" s="82"/>
      <c r="L27" s="82"/>
      <c r="M27" s="82"/>
      <c r="N27" s="82"/>
    </row>
    <row r="28" customFormat="false" ht="48" hidden="false" customHeight="true" outlineLevel="0" collapsed="false">
      <c r="A28" s="81"/>
      <c r="B28" s="81"/>
      <c r="C28" s="81"/>
      <c r="D28" s="81"/>
      <c r="E28" s="81"/>
      <c r="F28" s="81"/>
      <c r="G28" s="81"/>
      <c r="H28" s="81"/>
      <c r="I28" s="81"/>
      <c r="J28" s="81"/>
      <c r="K28" s="81"/>
      <c r="L28" s="81"/>
      <c r="M28" s="81"/>
      <c r="N28" s="81"/>
    </row>
    <row r="29" customFormat="false" ht="48" hidden="false" customHeight="true" outlineLevel="0" collapsed="false">
      <c r="A29" s="82"/>
      <c r="B29" s="82"/>
      <c r="C29" s="82"/>
      <c r="D29" s="82"/>
      <c r="E29" s="82"/>
      <c r="F29" s="82"/>
      <c r="G29" s="82"/>
      <c r="H29" s="82"/>
      <c r="I29" s="82"/>
      <c r="J29" s="82"/>
      <c r="K29" s="82"/>
      <c r="L29" s="82"/>
      <c r="M29" s="82"/>
      <c r="N29" s="82"/>
    </row>
    <row r="30" customFormat="false" ht="48" hidden="false" customHeight="true" outlineLevel="0" collapsed="false">
      <c r="A30" s="81"/>
      <c r="B30" s="81"/>
      <c r="C30" s="81"/>
      <c r="D30" s="81"/>
      <c r="E30" s="81"/>
      <c r="F30" s="81"/>
      <c r="G30" s="81"/>
      <c r="H30" s="81"/>
      <c r="I30" s="81"/>
      <c r="J30" s="81"/>
      <c r="K30" s="81"/>
      <c r="L30" s="81"/>
      <c r="M30" s="81"/>
      <c r="N30" s="81"/>
    </row>
    <row r="31" customFormat="false" ht="48" hidden="false" customHeight="true" outlineLevel="0" collapsed="false">
      <c r="A31" s="82"/>
      <c r="B31" s="82"/>
      <c r="C31" s="82"/>
      <c r="D31" s="82"/>
      <c r="E31" s="82"/>
      <c r="F31" s="82"/>
      <c r="G31" s="82"/>
      <c r="H31" s="82"/>
      <c r="I31" s="82"/>
      <c r="J31" s="82"/>
      <c r="K31" s="82"/>
      <c r="L31" s="82"/>
      <c r="M31" s="82"/>
      <c r="N31" s="82"/>
    </row>
    <row r="32" customFormat="false" ht="48" hidden="false" customHeight="true" outlineLevel="0" collapsed="false">
      <c r="A32" s="81"/>
      <c r="B32" s="81"/>
      <c r="C32" s="81"/>
      <c r="D32" s="81"/>
      <c r="E32" s="81"/>
      <c r="F32" s="81"/>
      <c r="G32" s="81"/>
      <c r="H32" s="81"/>
      <c r="I32" s="81"/>
      <c r="J32" s="81"/>
      <c r="K32" s="81"/>
      <c r="L32" s="81"/>
      <c r="M32" s="81"/>
      <c r="N32" s="81"/>
    </row>
    <row r="33" customFormat="false" ht="48" hidden="false" customHeight="true" outlineLevel="0" collapsed="false">
      <c r="A33" s="82"/>
      <c r="B33" s="82"/>
      <c r="C33" s="82"/>
      <c r="D33" s="82"/>
      <c r="E33" s="82"/>
      <c r="F33" s="82"/>
      <c r="G33" s="82"/>
      <c r="H33" s="82"/>
      <c r="I33" s="82"/>
      <c r="J33" s="82"/>
      <c r="K33" s="82"/>
      <c r="L33" s="82"/>
      <c r="M33" s="82"/>
      <c r="N33" s="82"/>
    </row>
    <row r="34" customFormat="false" ht="48" hidden="false" customHeight="true" outlineLevel="0" collapsed="false">
      <c r="A34" s="81"/>
      <c r="B34" s="81"/>
      <c r="C34" s="81"/>
      <c r="D34" s="81"/>
      <c r="E34" s="81"/>
      <c r="F34" s="81"/>
      <c r="G34" s="81"/>
      <c r="H34" s="81"/>
      <c r="I34" s="81"/>
      <c r="J34" s="81"/>
      <c r="K34" s="81"/>
      <c r="L34" s="81"/>
      <c r="M34" s="81"/>
      <c r="N34" s="81"/>
    </row>
    <row r="35" customFormat="false" ht="48" hidden="false" customHeight="true" outlineLevel="0" collapsed="false">
      <c r="A35" s="82"/>
      <c r="B35" s="82"/>
      <c r="C35" s="82"/>
      <c r="D35" s="82"/>
      <c r="E35" s="82"/>
      <c r="F35" s="82"/>
      <c r="G35" s="82"/>
      <c r="H35" s="82"/>
      <c r="I35" s="82"/>
      <c r="J35" s="82"/>
      <c r="K35" s="82"/>
      <c r="L35" s="82"/>
      <c r="M35" s="82"/>
      <c r="N35" s="82"/>
    </row>
    <row r="36" customFormat="false" ht="48" hidden="false" customHeight="true" outlineLevel="0" collapsed="false">
      <c r="A36" s="81"/>
      <c r="B36" s="81"/>
      <c r="C36" s="81"/>
      <c r="D36" s="81"/>
      <c r="E36" s="81"/>
      <c r="F36" s="81"/>
      <c r="G36" s="81"/>
      <c r="H36" s="81"/>
      <c r="I36" s="81"/>
      <c r="J36" s="81"/>
      <c r="K36" s="81"/>
      <c r="L36" s="81"/>
      <c r="M36" s="81"/>
      <c r="N36" s="81"/>
    </row>
    <row r="37" customFormat="false" ht="48" hidden="false" customHeight="true" outlineLevel="0" collapsed="false">
      <c r="A37" s="82"/>
      <c r="B37" s="82"/>
      <c r="C37" s="82"/>
      <c r="D37" s="82"/>
      <c r="E37" s="82"/>
      <c r="F37" s="82"/>
      <c r="G37" s="82"/>
      <c r="H37" s="82"/>
      <c r="I37" s="82"/>
      <c r="J37" s="82"/>
      <c r="K37" s="82"/>
      <c r="L37" s="82"/>
      <c r="M37" s="82"/>
      <c r="N37" s="82"/>
    </row>
    <row r="38" customFormat="false" ht="48" hidden="false" customHeight="true" outlineLevel="0" collapsed="false">
      <c r="A38" s="81"/>
      <c r="B38" s="81"/>
      <c r="C38" s="81"/>
      <c r="D38" s="81"/>
      <c r="E38" s="81"/>
      <c r="F38" s="81"/>
      <c r="G38" s="81"/>
      <c r="H38" s="81"/>
      <c r="I38" s="81"/>
      <c r="J38" s="81"/>
      <c r="K38" s="81"/>
      <c r="L38" s="81"/>
      <c r="M38" s="81"/>
      <c r="N38" s="81"/>
    </row>
    <row r="39" customFormat="false" ht="48" hidden="false" customHeight="true" outlineLevel="0" collapsed="false">
      <c r="A39" s="82"/>
      <c r="B39" s="82"/>
      <c r="C39" s="82"/>
      <c r="D39" s="82"/>
      <c r="E39" s="82"/>
      <c r="F39" s="82"/>
      <c r="G39" s="82"/>
      <c r="H39" s="82"/>
      <c r="I39" s="82"/>
      <c r="J39" s="82"/>
      <c r="K39" s="82"/>
      <c r="L39" s="82"/>
      <c r="M39" s="82"/>
      <c r="N39" s="82"/>
    </row>
    <row r="40" customFormat="false" ht="48" hidden="false" customHeight="true" outlineLevel="0" collapsed="false">
      <c r="A40" s="81"/>
      <c r="B40" s="81"/>
      <c r="C40" s="81"/>
      <c r="D40" s="81"/>
      <c r="E40" s="81"/>
      <c r="F40" s="81"/>
      <c r="G40" s="81"/>
      <c r="H40" s="81"/>
      <c r="I40" s="81"/>
      <c r="J40" s="81"/>
      <c r="K40" s="81"/>
      <c r="L40" s="81"/>
      <c r="M40" s="81"/>
      <c r="N40" s="81"/>
    </row>
    <row r="41" customFormat="false" ht="48" hidden="false" customHeight="true" outlineLevel="0" collapsed="false">
      <c r="A41" s="82"/>
      <c r="B41" s="82"/>
      <c r="C41" s="82"/>
      <c r="D41" s="82"/>
      <c r="E41" s="82"/>
      <c r="F41" s="82"/>
      <c r="G41" s="82"/>
      <c r="H41" s="82"/>
      <c r="I41" s="82"/>
      <c r="J41" s="82"/>
      <c r="K41" s="82"/>
      <c r="L41" s="82"/>
      <c r="M41" s="82"/>
      <c r="N41" s="82"/>
    </row>
    <row r="42" customFormat="false" ht="48" hidden="false" customHeight="true" outlineLevel="0" collapsed="false">
      <c r="A42" s="81"/>
      <c r="B42" s="81"/>
      <c r="C42" s="81"/>
      <c r="D42" s="81"/>
      <c r="E42" s="81"/>
      <c r="F42" s="81"/>
      <c r="G42" s="81"/>
      <c r="H42" s="81"/>
      <c r="I42" s="81"/>
      <c r="J42" s="81"/>
      <c r="K42" s="81"/>
      <c r="L42" s="81"/>
      <c r="M42" s="81"/>
      <c r="N42" s="81"/>
    </row>
    <row r="43" customFormat="false" ht="48" hidden="false" customHeight="true" outlineLevel="0" collapsed="false">
      <c r="A43" s="82"/>
      <c r="B43" s="82"/>
      <c r="C43" s="82"/>
      <c r="D43" s="82"/>
      <c r="E43" s="82"/>
      <c r="F43" s="82"/>
      <c r="G43" s="82"/>
      <c r="H43" s="82"/>
      <c r="I43" s="82"/>
      <c r="J43" s="82"/>
      <c r="K43" s="82"/>
      <c r="L43" s="82"/>
      <c r="M43" s="82"/>
      <c r="N43" s="82"/>
    </row>
    <row r="44" customFormat="false" ht="48" hidden="false" customHeight="true" outlineLevel="0" collapsed="false">
      <c r="A44" s="81"/>
      <c r="B44" s="81"/>
      <c r="C44" s="81"/>
      <c r="D44" s="81"/>
      <c r="E44" s="81"/>
      <c r="F44" s="81"/>
      <c r="G44" s="81"/>
      <c r="H44" s="81"/>
      <c r="I44" s="81"/>
      <c r="J44" s="81"/>
      <c r="K44" s="81"/>
      <c r="L44" s="81"/>
      <c r="M44" s="81"/>
      <c r="N44" s="81"/>
    </row>
    <row r="45" customFormat="false" ht="48" hidden="false" customHeight="true" outlineLevel="0" collapsed="false">
      <c r="A45" s="82"/>
      <c r="B45" s="82"/>
      <c r="C45" s="82"/>
      <c r="D45" s="82"/>
      <c r="E45" s="82"/>
      <c r="F45" s="82"/>
      <c r="G45" s="82"/>
      <c r="H45" s="82"/>
      <c r="I45" s="82"/>
      <c r="J45" s="82"/>
      <c r="K45" s="82"/>
      <c r="L45" s="82"/>
      <c r="M45" s="82"/>
      <c r="N45" s="82"/>
    </row>
    <row r="46" customFormat="false" ht="48" hidden="false" customHeight="true" outlineLevel="0" collapsed="false">
      <c r="A46" s="81"/>
      <c r="B46" s="81"/>
      <c r="C46" s="81"/>
      <c r="D46" s="81"/>
      <c r="E46" s="81"/>
      <c r="F46" s="81"/>
      <c r="G46" s="81"/>
      <c r="H46" s="81"/>
      <c r="I46" s="81"/>
      <c r="J46" s="81"/>
      <c r="K46" s="81"/>
      <c r="L46" s="81"/>
      <c r="M46" s="81"/>
      <c r="N46" s="81"/>
    </row>
    <row r="47" customFormat="false" ht="48" hidden="false" customHeight="true" outlineLevel="0" collapsed="false">
      <c r="A47" s="82"/>
      <c r="B47" s="82"/>
      <c r="C47" s="82"/>
      <c r="D47" s="82"/>
      <c r="E47" s="82"/>
      <c r="F47" s="82"/>
      <c r="G47" s="82"/>
      <c r="H47" s="82"/>
      <c r="I47" s="82"/>
      <c r="J47" s="82"/>
      <c r="K47" s="82"/>
      <c r="L47" s="82"/>
      <c r="M47" s="82"/>
      <c r="N47" s="82"/>
    </row>
    <row r="48" customFormat="false" ht="48" hidden="false" customHeight="true" outlineLevel="0" collapsed="false">
      <c r="A48" s="81"/>
      <c r="B48" s="81"/>
      <c r="C48" s="81"/>
      <c r="D48" s="81"/>
      <c r="E48" s="81"/>
      <c r="F48" s="81"/>
      <c r="G48" s="81"/>
      <c r="H48" s="81"/>
      <c r="I48" s="81"/>
      <c r="J48" s="81"/>
      <c r="K48" s="81"/>
      <c r="L48" s="81"/>
      <c r="M48" s="81"/>
      <c r="N48" s="81"/>
    </row>
    <row r="49" customFormat="false" ht="48" hidden="false" customHeight="true" outlineLevel="0" collapsed="false">
      <c r="A49" s="82"/>
      <c r="B49" s="82"/>
      <c r="C49" s="82"/>
      <c r="D49" s="82"/>
      <c r="E49" s="82"/>
      <c r="F49" s="82"/>
      <c r="G49" s="82"/>
      <c r="H49" s="82"/>
      <c r="I49" s="82"/>
      <c r="J49" s="82"/>
      <c r="K49" s="82"/>
      <c r="L49" s="82"/>
      <c r="M49" s="82"/>
      <c r="N49" s="82"/>
    </row>
    <row r="50" customFormat="false" ht="48" hidden="false" customHeight="true" outlineLevel="0" collapsed="false">
      <c r="A50" s="81"/>
      <c r="B50" s="81"/>
      <c r="C50" s="81"/>
      <c r="D50" s="81"/>
      <c r="E50" s="81"/>
      <c r="F50" s="81"/>
      <c r="G50" s="81"/>
      <c r="H50" s="81"/>
      <c r="I50" s="81"/>
      <c r="J50" s="81"/>
      <c r="K50" s="81"/>
      <c r="L50" s="81"/>
      <c r="M50" s="81"/>
      <c r="N50" s="81"/>
    </row>
  </sheetData>
  <mergeCells count="3">
    <mergeCell ref="A1:N1"/>
    <mergeCell ref="A2:N2"/>
    <mergeCell ref="A3:N3"/>
  </mergeCells>
  <dataValidations count="4">
    <dataValidation allowBlank="true" errorStyle="stop" operator="between" showDropDown="false" showErrorMessage="false" showInputMessage="false" sqref="D6:D50" type="list">
      <formula1>"Designation,Takedown,Sinkhole,Referral,Arrest,Journalism Pipeline,Infrastructure Disruption,Other"</formula1>
      <formula2>0</formula2>
    </dataValidation>
    <dataValidation allowBlank="true" errorStyle="stop" operator="between" showDropDown="false" showErrorMessage="false" showInputMessage="false" sqref="G6:G50" type="list">
      <formula1>"Low,Medium,High"</formula1>
      <formula2>0</formula2>
    </dataValidation>
    <dataValidation allowBlank="true" errorStyle="stop" operator="between" showDropDown="false" showErrorMessage="false" showInputMessage="false" sqref="I6:J50" type="list">
      <formula1>"Full,Partial,Failed,PENDING,N/A"</formula1>
      <formula2>0</formula2>
    </dataValidation>
    <dataValidation allowBlank="true" errorStyle="stop" operator="between" showDropDown="false" showErrorMessage="false" showInputMessage="false" sqref="L6:L50" type="list">
      <formula1>"Yes,No,Partial,PENDING"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2026-03-25T21:44:14Z</dcterms:created>
  <dc:creator>openpyxl</dc:creator>
  <dc:description/>
  <dc:language>en-US</dc:language>
  <cp:lastModifiedBy>reno lynch</cp:lastModifiedBy>
  <dcterms:modified xsi:type="dcterms:W3CDTF">2026-05-20T13:16:17Z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